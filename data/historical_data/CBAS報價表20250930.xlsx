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金融交易部資產交換選擇權報價表!$A$7:$W$145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5" i="1" l="1"/>
  <c r="V128" i="1"/>
  <c r="V129" i="1"/>
  <c r="D148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7" i="1"/>
  <c r="V126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C148" i="1" s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48" i="1" l="1"/>
  <c r="G148" i="1" l="1"/>
  <c r="I148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36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8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0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8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3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42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43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48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<sst xmlns="http://schemas.openxmlformats.org/spreadsheetml/2006/main" count="608" uniqueCount="227">
  <si>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</si>
  <si>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</si>
  <si>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</si>
  <si>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</si>
  <si>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</si>
  <si>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</si>
  <si>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</si>
  <si>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</si>
  <si>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</si>
  <si>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</si>
  <si>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</si>
  <si>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</si>
  <si>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</si>
  <si>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</si>
  <si>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</si>
  <si>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</si>
  <si>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</si>
  <si>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</si>
  <si>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</si>
  <si>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</si>
  <si>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</si>
  <si>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</si>
  <si>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</si>
  <si>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</si>
  <si>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</si>
  <si>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</si>
  <si>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</si>
  <si>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</si>
  <si>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</si>
  <si>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</si>
  <si>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</si>
  <si>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</si>
  <si>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</si>
  <si>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</si>
  <si>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</si>
  <si>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</si>
  <si>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</si>
  <si>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</si>
  <si>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</si>
  <si>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</si>
  <si>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</si>
  <si>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</si>
  <si>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</si>
  <si>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</si>
  <si>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</si>
  <si>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</si>
  <si>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</si>
  <si>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</si>
  <si>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</si>
  <si>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</si>
  <si>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</si>
  <si>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</si>
  <si>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</si>
  <si>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</si>
  <si>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</si>
  <si>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</si>
  <si>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</si>
  <si>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</si>
  <si>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</si>
  <si>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</si>
  <si>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</si>
  <si>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</si>
  <si>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</si>
  <si>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</si>
  <si>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</si>
  <si>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</si>
  <si>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</si>
  <si>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</si>
  <si>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</si>
  <si>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</si>
  <si>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</si>
  <si>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</si>
  <si>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</si>
  <si>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</si>
  <si>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</si>
  <si>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</si>
  <si>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</si>
  <si>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</si>
  <si>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</si>
  <si>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</si>
  <si>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</si>
  <si>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</si>
  <si>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</si>
  <si>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</si>
  <si>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</si>
  <si>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</si>
  <si>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</si>
  <si>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</si>
  <si>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3</t>
  </si>
  <si>
    <t>美律四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</si>
  <si>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</si>
  <si>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</si>
  <si>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</si>
  <si>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</si>
  <si>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</si>
  <si>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</si>
  <si>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</si>
  <si>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</si>
  <si>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山富一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</si>
  <si>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</si>
  <si>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</si>
  <si>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</si>
  <si>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</si>
  <si>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</si>
  <si>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</si>
  <si>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</si>
  <si>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</si>
  <si>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</si>
  <si>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</si>
  <si>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</si>
  <si>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</si>
  <si>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</si>
  <si>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</si>
  <si>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</si>
  <si>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</si>
  <si>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</si>
  <si>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</si>
  <si>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</si>
  <si>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</si>
  <si>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</si>
  <si>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</si>
  <si>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</si>
  <si>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</si>
  <si>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</si>
  <si>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</si>
  <si>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</si>
  <si>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</si>
  <si>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</si>
  <si>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</si>
  <si>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</si>
  <si>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</si>
  <si>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</si>
  <si>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</si>
  <si>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</si>
  <si>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</si>
  <si>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</si>
  <si>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</si>
  <si>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</si>
  <si>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</si>
  <si>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</si>
  <si>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</si>
  <si>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</si>
  <si>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</si>
  <si>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湧德四</t>
  </si>
  <si>
    <t>碩禾三</t>
  </si>
  <si>
    <t>有，上海商業銀行、合作金庫商業銀行、彰化商業銀行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</si>
  <si>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</si>
  <si>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</si>
  <si>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</si>
  <si>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</si>
  <si>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</si>
  <si>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</si>
  <si>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</si>
  <si>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</si>
  <si>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</si>
  <si>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桓達一</t>
  </si>
  <si>
    <t>氣立四</t>
  </si>
  <si>
    <t>有，彰化商業銀行</t>
  </si>
  <si>
    <t>寶緯一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</si>
  <si>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</si>
  <si>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</si>
  <si>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</si>
  <si>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</si>
  <si>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</si>
  <si>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</si>
  <si>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</si>
  <si>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</si>
  <si>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</si>
  <si>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</si>
  <si>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</si>
  <si>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</si>
  <si>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</si>
  <si>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</si>
  <si>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</si>
  <si>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</si>
  <si>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</si>
  <si>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</si>
  <si>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</si>
  <si>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</si>
  <si>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</si>
  <si>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</si>
  <si>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</si>
  <si>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</si>
  <si>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</si>
  <si>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</si>
  <si>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</si>
  <si>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</si>
  <si>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</si>
  <si>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</si>
  <si>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</si>
  <si>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</si>
  <si>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</si>
  <si>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</si>
  <si>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</si>
  <si>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</si>
  <si>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</si>
  <si>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易華電一</t>
  </si>
  <si>
    <t>鼎基一</t>
  </si>
  <si>
    <t>台灣銘板一</t>
  </si>
  <si>
    <t>萬年清一</t>
  </si>
  <si>
    <t>群翊二</t>
  </si>
  <si>
    <t>嘉基二</t>
  </si>
  <si>
    <t>龍德造船一</t>
  </si>
  <si>
    <t>平和環保一創</t>
  </si>
  <si>
    <t>聯寶一</t>
  </si>
  <si>
    <t>汎銓一</t>
  </si>
  <si>
    <t>錼創科技一KY創</t>
  </si>
  <si>
    <t>有，中國信託商業銀行</t>
  </si>
  <si>
    <t>意德士一永</t>
  </si>
  <si>
    <t>意德士二</t>
  </si>
  <si>
    <t>正淩三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</si>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</sst>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6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1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8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7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3" borderId="1" xfId="2" applyNumberFormat="1" applyFont="1" applyFill="1" applyBorder="1" applyAlignment="1" applyProtection="1">
      <alignment horizontal="center" vertical="center"/>
      <protection hidden="1"/>
    </xf>
    <xf numFmtId="10" fontId="15" fillId="3" borderId="1" xfId="3" applyNumberFormat="1" applyFont="1" applyFill="1" applyBorder="1" applyAlignment="1">
      <alignment horizontal="right" vertical="center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1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2" fontId="14" fillId="3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179" fontId="2" fillId="4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3" fontId="5" fillId="3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155</xdr:row>
      <xdr:rowOff>0</xdr:rowOff>
    </xdr:from>
    <xdr:to>
      <xdr:col>4</xdr:col>
      <xdr:colOff>0</xdr:colOff>
      <xdr:row>155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251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159</xdr:row>
      <xdr:rowOff>0</xdr:rowOff>
    </xdr:from>
    <xdr:to>
      <xdr:col>4</xdr:col>
      <xdr:colOff>0</xdr:colOff>
      <xdr:row>159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67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155</xdr:row>
      <xdr:rowOff>0</xdr:rowOff>
    </xdr:from>
    <xdr:to>
      <xdr:col>4</xdr:col>
      <xdr:colOff>0</xdr:colOff>
      <xdr:row>155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251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5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E8" sqref="E8"/>
    </sheetView>
  </sheetViews>
  <sheetFormatPr defaultColWidth="8.75" defaultRowHeight="17.25" customHeight="1" x14ac:dyDescent="0.25"/>
  <cols>
    <col min="1" max="1" width="15.125" style="6" customWidth="1"/>
    <col min="2" max="2" width="8.125" style="2" customWidth="1"/>
    <col min="3" max="3" width="19.25" style="2" customWidth="1"/>
    <col min="4" max="4" width="8.5" style="6" bestFit="1" customWidth="1"/>
    <col min="5" max="5" width="14.5" style="6" customWidth="1"/>
    <col min="6" max="6" width="18.25" style="5" customWidth="1"/>
    <col min="7" max="7" width="14.5" style="6" customWidth="1"/>
    <col min="8" max="8" width="13.125" style="6" customWidth="1"/>
    <col min="9" max="9" width="12.5" style="93" customWidth="1"/>
    <col min="10" max="10" width="12.375" style="2" customWidth="1"/>
    <col min="11" max="11" width="11" style="2" customWidth="1"/>
    <col min="12" max="12" width="12.625" style="5" customWidth="1"/>
    <col min="13" max="13" width="11.125" style="5" customWidth="1"/>
    <col min="14" max="14" width="11" style="5" customWidth="1"/>
    <col min="15" max="15" width="12.625" style="5" customWidth="1"/>
    <col min="16" max="16" width="11.5" style="5" customWidth="1"/>
    <col min="17" max="17" width="15" style="21" customWidth="1"/>
    <col min="18" max="18" width="16.125" style="5" customWidth="1"/>
    <col min="19" max="19" width="13.5" style="3" customWidth="1"/>
    <col min="20" max="20" width="12.125" style="15" bestFit="1" customWidth="1"/>
    <col min="21" max="21" width="18.875" style="95" hidden="1" customWidth="1"/>
    <col min="22" max="22" width="8.875" style="6" hidden="1" customWidth="1"/>
    <col min="23" max="23" width="9.625" style="9" hidden="1" customWidth="1"/>
    <col min="24" max="26" width="0" style="6" hidden="1" customWidth="1"/>
    <col min="27" max="16384" width="8.75" style="6"/>
  </cols>
  <sheetData>
    <row r="1" spans="1:23" ht="17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25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7"/>
      <c r="U2" s="8"/>
    </row>
    <row r="3" spans="1:23" ht="17.25" customHeight="1" x14ac:dyDescent="0.25">
      <c r="A3" s="99" t="s">
        <v>1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7"/>
      <c r="U3" s="8"/>
    </row>
    <row r="4" spans="1:23" ht="17.25" customHeight="1" x14ac:dyDescent="0.25">
      <c r="A4" s="99" t="s">
        <v>2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7"/>
      <c r="U4" s="8"/>
    </row>
    <row r="5" spans="1:23" s="11" customFormat="1" ht="17.25" customHeight="1" x14ac:dyDescent="0.25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25">
      <c r="A6" s="16"/>
      <c r="B6" s="16" t="s">
        <v>4</v>
      </c>
      <c r="C6" s="17">
        <v>45930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25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25">
      <c r="A8" s="34" t="s">
        <v>59</v>
      </c>
      <c r="B8" s="35">
        <v>13164</v>
      </c>
      <c r="C8" s="35" t="s">
        <v>60</v>
      </c>
      <c r="D8" s="36" t="s">
        <v>61</v>
      </c>
      <c r="E8" s="37">
        <v>1.03E-2</v>
      </c>
      <c r="F8" s="38">
        <v>2.1999999999999999E-2</v>
      </c>
      <c r="G8" s="39">
        <v>46037</v>
      </c>
      <c r="H8" s="39">
        <v>46051</v>
      </c>
      <c r="I8" s="40">
        <v>0.33150684931506852</v>
      </c>
      <c r="J8" s="41">
        <v>100</v>
      </c>
      <c r="K8" s="42">
        <v>14.7</v>
      </c>
      <c r="L8" s="43">
        <v>1.0170068027210883</v>
      </c>
      <c r="M8" s="44">
        <v>111</v>
      </c>
      <c r="N8" s="45">
        <v>9.1438127090301038E-2</v>
      </c>
      <c r="O8" s="46">
        <v>12030</v>
      </c>
      <c r="P8" s="47">
        <v>0.33500000000000002</v>
      </c>
      <c r="Q8" s="48">
        <v>4000</v>
      </c>
      <c r="R8" s="47">
        <v>0.52400000000000002</v>
      </c>
      <c r="S8" s="49" t="s">
        <v>27</v>
      </c>
      <c r="T8" s="50" t="s">
        <v>3</v>
      </c>
      <c r="U8" s="51"/>
      <c r="V8" s="52" t="str">
        <f t="shared" ref="V8:V47" si="0">A8</f>
        <v>上曜四</v>
      </c>
      <c r="W8" s="53">
        <v>3.0000000000000001E-3</v>
      </c>
    </row>
    <row r="9" spans="1:23" s="5" customFormat="1" ht="17.25" customHeight="1" x14ac:dyDescent="0.25">
      <c r="A9" s="34" t="s">
        <v>62</v>
      </c>
      <c r="B9" s="35">
        <v>13166</v>
      </c>
      <c r="C9" s="35" t="s">
        <v>63</v>
      </c>
      <c r="D9" s="36" t="s">
        <v>61</v>
      </c>
      <c r="E9" s="37">
        <v>2.7799999999999998E-2</v>
      </c>
      <c r="F9" s="38">
        <v>2.4E-2</v>
      </c>
      <c r="G9" s="39">
        <v>46370</v>
      </c>
      <c r="H9" s="39">
        <v>46383</v>
      </c>
      <c r="I9" s="40">
        <v>1.2410958904109588</v>
      </c>
      <c r="J9" s="41">
        <v>100.5</v>
      </c>
      <c r="K9" s="42">
        <v>17.399999999999999</v>
      </c>
      <c r="L9" s="43">
        <v>0.85919540229885061</v>
      </c>
      <c r="M9" s="44">
        <v>112</v>
      </c>
      <c r="N9" s="45">
        <v>0.30354515050167225</v>
      </c>
      <c r="O9" s="46">
        <v>14779.999999999998</v>
      </c>
      <c r="P9" s="47">
        <v>1</v>
      </c>
      <c r="Q9" s="48">
        <v>4000</v>
      </c>
      <c r="R9" s="47">
        <v>0.52400000000000002</v>
      </c>
      <c r="S9" s="49" t="s">
        <v>27</v>
      </c>
      <c r="T9" s="50"/>
      <c r="U9" s="51"/>
      <c r="V9" s="52" t="str">
        <f t="shared" si="0"/>
        <v>上曜六</v>
      </c>
      <c r="W9" s="53">
        <v>3.0000000000000001E-3</v>
      </c>
    </row>
    <row r="10" spans="1:23" s="5" customFormat="1" ht="17.25" customHeight="1" x14ac:dyDescent="0.25">
      <c r="A10" s="34" t="s">
        <v>64</v>
      </c>
      <c r="B10" s="35">
        <v>14381</v>
      </c>
      <c r="C10" s="35" t="s">
        <v>65</v>
      </c>
      <c r="D10" s="36" t="s">
        <v>61</v>
      </c>
      <c r="E10" s="37">
        <v>3.9000000000000007E-2</v>
      </c>
      <c r="F10" s="38">
        <v>2.3E-2</v>
      </c>
      <c r="G10" s="39">
        <v>46727</v>
      </c>
      <c r="H10" s="39">
        <v>46740</v>
      </c>
      <c r="I10" s="40">
        <v>2.2191780821917808</v>
      </c>
      <c r="J10" s="41">
        <v>101.50749999999999</v>
      </c>
      <c r="K10" s="42">
        <v>55.88</v>
      </c>
      <c r="L10" s="43">
        <v>0.66929133858267709</v>
      </c>
      <c r="M10" s="44">
        <v>124</v>
      </c>
      <c r="N10" s="45">
        <v>0.85270588235294154</v>
      </c>
      <c r="O10" s="46">
        <v>27900.000000000004</v>
      </c>
      <c r="P10" s="47">
        <v>1</v>
      </c>
      <c r="Q10" s="48">
        <v>9700</v>
      </c>
      <c r="R10" s="47">
        <v>0.36599999999999999</v>
      </c>
      <c r="S10" s="49" t="s">
        <v>27</v>
      </c>
      <c r="T10" s="50"/>
      <c r="U10" s="51"/>
      <c r="V10" s="52" t="str">
        <f t="shared" si="0"/>
        <v>三地開發一</v>
      </c>
      <c r="W10" s="53">
        <v>3.0000000000000001E-3</v>
      </c>
    </row>
    <row r="11" spans="1:23" s="5" customFormat="1" ht="17.25" customHeight="1" x14ac:dyDescent="0.25">
      <c r="A11" s="34" t="s">
        <v>66</v>
      </c>
      <c r="B11" s="35">
        <v>14664</v>
      </c>
      <c r="C11" s="35" t="s">
        <v>65</v>
      </c>
      <c r="D11" s="36" t="s">
        <v>67</v>
      </c>
      <c r="E11" s="37">
        <v>6.5700000000000008E-2</v>
      </c>
      <c r="F11" s="38">
        <v>2.3E-2</v>
      </c>
      <c r="G11" s="39">
        <v>46910</v>
      </c>
      <c r="H11" s="39">
        <v>46924</v>
      </c>
      <c r="I11" s="40">
        <v>2.7232876712328768</v>
      </c>
      <c r="J11" s="41">
        <v>100</v>
      </c>
      <c r="K11" s="42">
        <v>18.8</v>
      </c>
      <c r="L11" s="43">
        <v>0.9335106382978724</v>
      </c>
      <c r="M11" s="44">
        <v>116</v>
      </c>
      <c r="N11" s="45">
        <v>0.24262108262108259</v>
      </c>
      <c r="O11" s="46">
        <v>22570</v>
      </c>
      <c r="P11" s="47">
        <v>1</v>
      </c>
      <c r="Q11" s="48">
        <v>4000</v>
      </c>
      <c r="R11" s="47">
        <v>0.35199999999999998</v>
      </c>
      <c r="S11" s="49" t="s">
        <v>27</v>
      </c>
      <c r="T11" s="50"/>
      <c r="U11" s="51"/>
      <c r="V11" s="52" t="str">
        <f t="shared" si="0"/>
        <v>聚隆四</v>
      </c>
      <c r="W11" s="53">
        <v>3.0000000000000001E-3</v>
      </c>
    </row>
    <row r="12" spans="1:23" s="5" customFormat="1" ht="17.25" customHeight="1" x14ac:dyDescent="0.25">
      <c r="A12" s="34" t="s">
        <v>68</v>
      </c>
      <c r="B12" s="35">
        <v>14722</v>
      </c>
      <c r="C12" s="35" t="s">
        <v>65</v>
      </c>
      <c r="D12" s="36" t="s">
        <v>69</v>
      </c>
      <c r="E12" s="37">
        <v>3.1199999999999999E-2</v>
      </c>
      <c r="F12" s="38">
        <v>2.3E-2</v>
      </c>
      <c r="G12" s="39">
        <v>46524</v>
      </c>
      <c r="H12" s="39">
        <v>46536</v>
      </c>
      <c r="I12" s="40">
        <v>1.6602739726027398</v>
      </c>
      <c r="J12" s="41">
        <v>101.0025</v>
      </c>
      <c r="K12" s="42">
        <v>98.6</v>
      </c>
      <c r="L12" s="43">
        <v>0.91277890466531442</v>
      </c>
      <c r="M12" s="44">
        <v>106</v>
      </c>
      <c r="N12" s="45">
        <v>0.16128888888888882</v>
      </c>
      <c r="O12" s="46">
        <v>9120</v>
      </c>
      <c r="P12" s="47">
        <v>1</v>
      </c>
      <c r="Q12" s="48">
        <v>3000</v>
      </c>
      <c r="R12" s="47">
        <v>0.15</v>
      </c>
      <c r="S12" s="49" t="s">
        <v>27</v>
      </c>
      <c r="T12" s="50"/>
      <c r="U12" s="51"/>
      <c r="V12" s="52" t="str">
        <f t="shared" si="0"/>
        <v>三洋實業二</v>
      </c>
      <c r="W12" s="53">
        <v>3.0000000000000001E-3</v>
      </c>
    </row>
    <row r="13" spans="1:23" s="5" customFormat="1" ht="17.25" customHeight="1" x14ac:dyDescent="0.25">
      <c r="A13" s="34" t="s">
        <v>70</v>
      </c>
      <c r="B13" s="35">
        <v>15142</v>
      </c>
      <c r="C13" s="35" t="s">
        <v>71</v>
      </c>
      <c r="D13" s="36" t="s">
        <v>69</v>
      </c>
      <c r="E13" s="37">
        <v>6.9900000000000004E-2</v>
      </c>
      <c r="F13" s="38">
        <v>3.2500000000000001E-2</v>
      </c>
      <c r="G13" s="39">
        <v>46751</v>
      </c>
      <c r="H13" s="39">
        <v>46765</v>
      </c>
      <c r="I13" s="40">
        <v>2.2876712328767121</v>
      </c>
      <c r="J13" s="41">
        <v>100.75190000000001</v>
      </c>
      <c r="K13" s="42">
        <v>109.2</v>
      </c>
      <c r="L13" s="43">
        <v>0.92032967032967017</v>
      </c>
      <c r="M13" s="44">
        <v>113</v>
      </c>
      <c r="N13" s="45">
        <v>0.22782089552238821</v>
      </c>
      <c r="O13" s="46">
        <v>19990.000000000004</v>
      </c>
      <c r="P13" s="47">
        <v>1</v>
      </c>
      <c r="Q13" s="48">
        <v>12000</v>
      </c>
      <c r="R13" s="47">
        <v>0.307</v>
      </c>
      <c r="S13" s="49" t="s">
        <v>28</v>
      </c>
      <c r="T13" s="50"/>
      <c r="U13" s="51"/>
      <c r="V13" s="52" t="str">
        <f t="shared" si="0"/>
        <v>亞力二</v>
      </c>
      <c r="W13" s="53">
        <v>3.0000000000000001E-3</v>
      </c>
    </row>
    <row r="14" spans="1:23" s="5" customFormat="1" ht="17.25" customHeight="1" x14ac:dyDescent="0.25">
      <c r="A14" s="34" t="s">
        <v>72</v>
      </c>
      <c r="B14" s="35">
        <v>15601</v>
      </c>
      <c r="C14" s="35" t="s">
        <v>71</v>
      </c>
      <c r="D14" s="36" t="s">
        <v>73</v>
      </c>
      <c r="E14" s="37">
        <v>4.6300000000000008E-2</v>
      </c>
      <c r="F14" s="38">
        <v>2.5000000000000001E-2</v>
      </c>
      <c r="G14" s="39">
        <v>46548</v>
      </c>
      <c r="H14" s="39">
        <v>46562</v>
      </c>
      <c r="I14" s="40">
        <v>1.7315068493150685</v>
      </c>
      <c r="J14" s="41">
        <v>100</v>
      </c>
      <c r="K14" s="42">
        <v>284.60000000000002</v>
      </c>
      <c r="L14" s="43">
        <v>1.1489810260014053</v>
      </c>
      <c r="M14" s="44">
        <v>129.1</v>
      </c>
      <c r="N14" s="45">
        <v>0.12360428134556585</v>
      </c>
      <c r="O14" s="46">
        <v>33729.999999999993</v>
      </c>
      <c r="P14" s="47">
        <v>1</v>
      </c>
      <c r="Q14" s="48">
        <v>10000</v>
      </c>
      <c r="R14" s="47">
        <v>0.33700000000000002</v>
      </c>
      <c r="S14" s="49" t="s">
        <v>27</v>
      </c>
      <c r="T14" s="50"/>
      <c r="U14" s="54"/>
      <c r="V14" s="52" t="str">
        <f t="shared" si="0"/>
        <v>中砂一</v>
      </c>
      <c r="W14" s="53">
        <v>3.0000000000000001E-3</v>
      </c>
    </row>
    <row r="15" spans="1:23" s="5" customFormat="1" ht="17.25" customHeight="1" x14ac:dyDescent="0.25">
      <c r="A15" s="34" t="s">
        <v>74</v>
      </c>
      <c r="B15" s="35">
        <v>15864</v>
      </c>
      <c r="C15" s="35" t="s">
        <v>75</v>
      </c>
      <c r="D15" s="36" t="s">
        <v>61</v>
      </c>
      <c r="E15" s="37">
        <v>2.3199999999999998E-2</v>
      </c>
      <c r="F15" s="38">
        <v>2.1999999999999999E-2</v>
      </c>
      <c r="G15" s="39">
        <v>46251</v>
      </c>
      <c r="H15" s="39">
        <v>46264</v>
      </c>
      <c r="I15" s="40">
        <v>0.91506849315068495</v>
      </c>
      <c r="J15" s="41">
        <v>100</v>
      </c>
      <c r="K15" s="42">
        <v>31.08</v>
      </c>
      <c r="L15" s="43">
        <v>0.86229086229086238</v>
      </c>
      <c r="M15" s="44">
        <v>108.7</v>
      </c>
      <c r="N15" s="45">
        <v>0.26059552238805966</v>
      </c>
      <c r="O15" s="46">
        <v>11020.000000000002</v>
      </c>
      <c r="P15" s="47">
        <v>1</v>
      </c>
      <c r="Q15" s="48">
        <v>2000</v>
      </c>
      <c r="R15" s="47">
        <v>0.35</v>
      </c>
      <c r="S15" s="49" t="s">
        <v>27</v>
      </c>
      <c r="T15" s="50"/>
      <c r="U15" s="51"/>
      <c r="V15" s="52" t="str">
        <f t="shared" si="0"/>
        <v>和勤四</v>
      </c>
      <c r="W15" s="53">
        <v>3.0000000000000001E-3</v>
      </c>
    </row>
    <row r="16" spans="1:23" s="5" customFormat="1" ht="17.25" customHeight="1" x14ac:dyDescent="0.25">
      <c r="A16" s="34" t="s">
        <v>76</v>
      </c>
      <c r="B16" s="35">
        <v>15991</v>
      </c>
      <c r="C16" s="35" t="s">
        <v>77</v>
      </c>
      <c r="D16" s="36" t="s">
        <v>78</v>
      </c>
      <c r="E16" s="37">
        <v>6.0000000000000001E-3</v>
      </c>
      <c r="F16" s="38">
        <v>2.1999999999999999E-2</v>
      </c>
      <c r="G16" s="39">
        <v>45965</v>
      </c>
      <c r="H16" s="39">
        <v>45979</v>
      </c>
      <c r="I16" s="40">
        <v>0.13424657534246576</v>
      </c>
      <c r="J16" s="41">
        <v>100</v>
      </c>
      <c r="K16" s="42">
        <v>41.5</v>
      </c>
      <c r="L16" s="43">
        <v>0.70240963855421679</v>
      </c>
      <c r="M16" s="44">
        <v>99.75</v>
      </c>
      <c r="N16" s="45">
        <v>0.42011149228130368</v>
      </c>
      <c r="O16" s="46">
        <v>350</v>
      </c>
      <c r="P16" s="47">
        <v>1</v>
      </c>
      <c r="Q16" s="48">
        <v>3000</v>
      </c>
      <c r="R16" s="47">
        <v>0.29199999999999998</v>
      </c>
      <c r="S16" s="49" t="s">
        <v>27</v>
      </c>
      <c r="T16" s="50"/>
      <c r="U16" s="51"/>
      <c r="V16" s="52" t="str">
        <f t="shared" si="0"/>
        <v>宏佳騰一</v>
      </c>
      <c r="W16" s="53">
        <v>3.0000000000000001E-3</v>
      </c>
    </row>
    <row r="17" spans="1:23" s="5" customFormat="1" ht="17.25" customHeight="1" x14ac:dyDescent="0.25">
      <c r="A17" s="34" t="s">
        <v>79</v>
      </c>
      <c r="B17" s="35">
        <v>16095</v>
      </c>
      <c r="C17" s="35" t="s">
        <v>71</v>
      </c>
      <c r="D17" s="36" t="s">
        <v>78</v>
      </c>
      <c r="E17" s="37">
        <v>6.5500000000000003E-2</v>
      </c>
      <c r="F17" s="38">
        <v>3.5000000000000003E-2</v>
      </c>
      <c r="G17" s="39">
        <v>46646</v>
      </c>
      <c r="H17" s="39">
        <v>46660</v>
      </c>
      <c r="I17" s="40">
        <v>2</v>
      </c>
      <c r="J17" s="41">
        <v>100.75</v>
      </c>
      <c r="K17" s="42">
        <v>51.3</v>
      </c>
      <c r="L17" s="43">
        <v>0.77582846003898642</v>
      </c>
      <c r="M17" s="44">
        <v>106.05</v>
      </c>
      <c r="N17" s="45">
        <v>0.36692587939698484</v>
      </c>
      <c r="O17" s="46">
        <v>12599.999999999998</v>
      </c>
      <c r="P17" s="47">
        <v>1</v>
      </c>
      <c r="Q17" s="48">
        <v>20000</v>
      </c>
      <c r="R17" s="47">
        <v>0.47899999999999998</v>
      </c>
      <c r="S17" s="49" t="s">
        <v>28</v>
      </c>
      <c r="T17" s="50"/>
      <c r="U17" s="51"/>
      <c r="V17" s="52" t="str">
        <f t="shared" si="0"/>
        <v>大亞五</v>
      </c>
      <c r="W17" s="53">
        <v>3.0000000000000001E-3</v>
      </c>
    </row>
    <row r="18" spans="1:23" s="5" customFormat="1" ht="17.25" customHeight="1" x14ac:dyDescent="0.25">
      <c r="A18" s="34" t="s">
        <v>80</v>
      </c>
      <c r="B18" s="35">
        <v>17813</v>
      </c>
      <c r="C18" s="35" t="s">
        <v>81</v>
      </c>
      <c r="D18" s="36" t="s">
        <v>67</v>
      </c>
      <c r="E18" s="37">
        <v>4.8700000000000007E-2</v>
      </c>
      <c r="F18" s="38">
        <v>2.3E-2</v>
      </c>
      <c r="G18" s="39">
        <v>46640</v>
      </c>
      <c r="H18" s="39">
        <v>46654</v>
      </c>
      <c r="I18" s="40">
        <v>1.9835616438356165</v>
      </c>
      <c r="J18" s="41">
        <v>100</v>
      </c>
      <c r="K18" s="42">
        <v>18</v>
      </c>
      <c r="L18" s="43">
        <v>0.72777777777777775</v>
      </c>
      <c r="M18" s="44">
        <v>102.5</v>
      </c>
      <c r="N18" s="45">
        <v>0.40839694656488562</v>
      </c>
      <c r="O18" s="46">
        <v>7370.0000000000018</v>
      </c>
      <c r="P18" s="47">
        <v>1</v>
      </c>
      <c r="Q18" s="48">
        <v>2000</v>
      </c>
      <c r="R18" s="47">
        <v>0.115</v>
      </c>
      <c r="S18" s="49" t="s">
        <v>27</v>
      </c>
      <c r="T18" s="50"/>
      <c r="U18" s="51"/>
      <c r="V18" s="52" t="str">
        <f t="shared" si="0"/>
        <v>合世三</v>
      </c>
      <c r="W18" s="53">
        <v>3.0000000000000001E-3</v>
      </c>
    </row>
    <row r="19" spans="1:23" s="5" customFormat="1" ht="17.25" customHeight="1" x14ac:dyDescent="0.25">
      <c r="A19" s="34" t="s">
        <v>82</v>
      </c>
      <c r="B19" s="35">
        <v>17863</v>
      </c>
      <c r="C19" s="35" t="s">
        <v>71</v>
      </c>
      <c r="D19" s="36" t="s">
        <v>69</v>
      </c>
      <c r="E19" s="37">
        <v>6.1000000000000006E-2</v>
      </c>
      <c r="F19" s="38">
        <v>4.2500000000000003E-2</v>
      </c>
      <c r="G19" s="39">
        <v>46587</v>
      </c>
      <c r="H19" s="39">
        <v>46600</v>
      </c>
      <c r="I19" s="40">
        <v>1.8356164383561644</v>
      </c>
      <c r="J19" s="41">
        <v>102.01</v>
      </c>
      <c r="K19" s="42">
        <v>116.5</v>
      </c>
      <c r="L19" s="43">
        <v>0.84377682403433463</v>
      </c>
      <c r="M19" s="44">
        <v>145</v>
      </c>
      <c r="N19" s="45">
        <v>0.71846388606307243</v>
      </c>
      <c r="O19" s="46">
        <v>51100</v>
      </c>
      <c r="P19" s="47">
        <v>1</v>
      </c>
      <c r="Q19" s="48">
        <v>4000</v>
      </c>
      <c r="R19" s="47">
        <v>0.17399999999999999</v>
      </c>
      <c r="S19" s="49" t="s">
        <v>28</v>
      </c>
      <c r="T19" s="50"/>
      <c r="U19" s="54"/>
      <c r="V19" s="52" t="str">
        <f t="shared" si="0"/>
        <v>科妍三</v>
      </c>
      <c r="W19" s="53">
        <v>3.0000000000000001E-3</v>
      </c>
    </row>
    <row r="20" spans="1:23" s="5" customFormat="1" ht="17.25" customHeight="1" x14ac:dyDescent="0.25">
      <c r="A20" s="34" t="s">
        <v>83</v>
      </c>
      <c r="B20" s="35">
        <v>22283</v>
      </c>
      <c r="C20" s="35" t="s">
        <v>71</v>
      </c>
      <c r="D20" s="36" t="s">
        <v>78</v>
      </c>
      <c r="E20" s="37">
        <v>5.6600000000000004E-2</v>
      </c>
      <c r="F20" s="38">
        <v>2.8000000000000001E-2</v>
      </c>
      <c r="G20" s="39">
        <v>46615</v>
      </c>
      <c r="H20" s="39">
        <v>46628</v>
      </c>
      <c r="I20" s="40">
        <v>1.9123287671232876</v>
      </c>
      <c r="J20" s="41">
        <v>100</v>
      </c>
      <c r="K20" s="42">
        <v>85.36</v>
      </c>
      <c r="L20" s="43">
        <v>1.2300843486410498</v>
      </c>
      <c r="M20" s="44">
        <v>128</v>
      </c>
      <c r="N20" s="45">
        <v>4.0579047619047598E-2</v>
      </c>
      <c r="O20" s="46">
        <v>33660</v>
      </c>
      <c r="P20" s="47">
        <v>0.92900000000000005</v>
      </c>
      <c r="Q20" s="48">
        <v>3000</v>
      </c>
      <c r="R20" s="47">
        <v>0.77800000000000002</v>
      </c>
      <c r="S20" s="49" t="s">
        <v>27</v>
      </c>
      <c r="T20" s="50"/>
      <c r="U20" s="51"/>
      <c r="V20" s="52" t="str">
        <f t="shared" si="0"/>
        <v>劍麟三</v>
      </c>
      <c r="W20" s="53">
        <v>3.0000000000000001E-3</v>
      </c>
    </row>
    <row r="21" spans="1:23" s="5" customFormat="1" ht="17.25" customHeight="1" x14ac:dyDescent="0.25">
      <c r="A21" s="34" t="s">
        <v>84</v>
      </c>
      <c r="B21" s="35">
        <v>22471</v>
      </c>
      <c r="C21" s="35" t="s">
        <v>71</v>
      </c>
      <c r="D21" s="36" t="s">
        <v>73</v>
      </c>
      <c r="E21" s="37">
        <v>7.6999999999999999E-2</v>
      </c>
      <c r="F21" s="38">
        <v>2.7E-2</v>
      </c>
      <c r="G21" s="39">
        <v>46916</v>
      </c>
      <c r="H21" s="39">
        <v>46930</v>
      </c>
      <c r="I21" s="40">
        <v>2.7397260273972601</v>
      </c>
      <c r="J21" s="41">
        <v>100</v>
      </c>
      <c r="K21" s="42">
        <v>289.39999999999998</v>
      </c>
      <c r="L21" s="43">
        <v>1.0176226675881135</v>
      </c>
      <c r="M21" s="44">
        <v>108.75</v>
      </c>
      <c r="N21" s="45">
        <v>6.8667232597622918E-2</v>
      </c>
      <c r="O21" s="46">
        <v>16449.999999999996</v>
      </c>
      <c r="P21" s="47">
        <v>1</v>
      </c>
      <c r="Q21" s="48">
        <v>10000</v>
      </c>
      <c r="R21" s="47">
        <v>0.19500000000000001</v>
      </c>
      <c r="S21" s="49" t="s">
        <v>27</v>
      </c>
      <c r="T21" s="50" t="s">
        <v>3</v>
      </c>
      <c r="U21" s="51"/>
      <c r="V21" s="52" t="str">
        <f t="shared" si="0"/>
        <v>汎德永業一</v>
      </c>
      <c r="W21" s="53">
        <v>3.0000000000000001E-3</v>
      </c>
    </row>
    <row r="22" spans="1:23" s="5" customFormat="1" ht="17.25" customHeight="1" x14ac:dyDescent="0.25">
      <c r="A22" s="34" t="s">
        <v>85</v>
      </c>
      <c r="B22" s="35">
        <v>22472</v>
      </c>
      <c r="C22" s="35" t="s">
        <v>71</v>
      </c>
      <c r="D22" s="36" t="s">
        <v>73</v>
      </c>
      <c r="E22" s="37">
        <v>7.7300000000000008E-2</v>
      </c>
      <c r="F22" s="38">
        <v>2.7E-2</v>
      </c>
      <c r="G22" s="39">
        <v>46920</v>
      </c>
      <c r="H22" s="39">
        <v>46934</v>
      </c>
      <c r="I22" s="40">
        <v>2.7506849315068491</v>
      </c>
      <c r="J22" s="41">
        <v>100</v>
      </c>
      <c r="K22" s="42">
        <v>280.2</v>
      </c>
      <c r="L22" s="43">
        <v>1.0510349750178445</v>
      </c>
      <c r="M22" s="44">
        <v>111.3</v>
      </c>
      <c r="N22" s="45">
        <v>5.8956196943972743E-2</v>
      </c>
      <c r="O22" s="46">
        <v>19029.999999999996</v>
      </c>
      <c r="P22" s="47">
        <v>1</v>
      </c>
      <c r="Q22" s="48">
        <v>10000</v>
      </c>
      <c r="R22" s="47">
        <v>0.19500000000000001</v>
      </c>
      <c r="S22" s="49" t="s">
        <v>27</v>
      </c>
      <c r="T22" s="50"/>
      <c r="U22" s="51"/>
      <c r="V22" s="52" t="str">
        <f t="shared" si="0"/>
        <v>汎德永業二</v>
      </c>
      <c r="W22" s="53">
        <v>3.0000000000000001E-3</v>
      </c>
    </row>
    <row r="23" spans="1:23" s="5" customFormat="1" ht="18" customHeight="1" x14ac:dyDescent="0.25">
      <c r="A23" s="34" t="s">
        <v>86</v>
      </c>
      <c r="B23" s="35">
        <v>23511</v>
      </c>
      <c r="C23" s="35" t="s">
        <v>71</v>
      </c>
      <c r="D23" s="36" t="s">
        <v>78</v>
      </c>
      <c r="E23" s="37">
        <v>9.8100000000000007E-2</v>
      </c>
      <c r="F23" s="38">
        <v>3.5000000000000003E-2</v>
      </c>
      <c r="G23" s="39">
        <v>46909</v>
      </c>
      <c r="H23" s="39">
        <v>46921</v>
      </c>
      <c r="I23" s="40">
        <v>2.7150684931506848</v>
      </c>
      <c r="J23" s="41">
        <v>100</v>
      </c>
      <c r="K23" s="42">
        <v>72.400000000000006</v>
      </c>
      <c r="L23" s="43">
        <v>1.0773480662983426</v>
      </c>
      <c r="M23" s="44">
        <v>120.65</v>
      </c>
      <c r="N23" s="45">
        <v>0.11987948717948724</v>
      </c>
      <c r="O23" s="46">
        <v>30460.000000000004</v>
      </c>
      <c r="P23" s="47">
        <v>1</v>
      </c>
      <c r="Q23" s="48">
        <v>12000</v>
      </c>
      <c r="R23" s="47">
        <v>0.50800000000000001</v>
      </c>
      <c r="S23" s="49" t="s">
        <v>27</v>
      </c>
      <c r="T23" s="50"/>
      <c r="U23" s="51"/>
      <c r="V23" s="52" t="str">
        <f t="shared" si="0"/>
        <v>順德一</v>
      </c>
      <c r="W23" s="53">
        <v>3.0000000000000001E-3</v>
      </c>
    </row>
    <row r="24" spans="1:23" s="5" customFormat="1" ht="18" customHeight="1" x14ac:dyDescent="0.25">
      <c r="A24" s="34" t="s">
        <v>87</v>
      </c>
      <c r="B24" s="35">
        <v>23682</v>
      </c>
      <c r="C24" s="35" t="s">
        <v>71</v>
      </c>
      <c r="D24" s="36" t="s">
        <v>88</v>
      </c>
      <c r="E24" s="37">
        <v>3.3800000000000004E-2</v>
      </c>
      <c r="F24" s="38">
        <v>2.5999999999999999E-2</v>
      </c>
      <c r="G24" s="39">
        <v>46349</v>
      </c>
      <c r="H24" s="39">
        <v>46361</v>
      </c>
      <c r="I24" s="40">
        <v>1.1808219178082191</v>
      </c>
      <c r="J24" s="41">
        <v>100</v>
      </c>
      <c r="K24" s="42">
        <v>214</v>
      </c>
      <c r="L24" s="43">
        <v>1.9275700934579438</v>
      </c>
      <c r="M24" s="44">
        <v>191</v>
      </c>
      <c r="N24" s="45">
        <v>-9.1151515151514859E-3</v>
      </c>
      <c r="O24" s="46">
        <v>94380.000000000015</v>
      </c>
      <c r="P24" s="47">
        <v>0.30367499999999997</v>
      </c>
      <c r="Q24" s="48">
        <v>40000</v>
      </c>
      <c r="R24" s="47">
        <v>0.55500000000000005</v>
      </c>
      <c r="S24" s="49" t="s">
        <v>28</v>
      </c>
      <c r="T24" s="50"/>
      <c r="U24" s="51"/>
      <c r="V24" s="52" t="str">
        <f t="shared" si="0"/>
        <v>金像電二</v>
      </c>
      <c r="W24" s="53">
        <v>3.0000000000000001E-3</v>
      </c>
    </row>
    <row r="25" spans="1:23" s="5" customFormat="1" ht="17.25" customHeight="1" x14ac:dyDescent="0.25">
      <c r="A25" s="34" t="s">
        <v>89</v>
      </c>
      <c r="B25" s="35">
        <v>24394</v>
      </c>
      <c r="C25" s="35" t="s">
        <v>71</v>
      </c>
      <c r="D25" s="36" t="s">
        <v>88</v>
      </c>
      <c r="E25" s="37">
        <v>4.7400000000000005E-2</v>
      </c>
      <c r="F25" s="38">
        <v>2.5000000000000001E-2</v>
      </c>
      <c r="G25" s="39">
        <v>46566</v>
      </c>
      <c r="H25" s="39">
        <v>46578</v>
      </c>
      <c r="I25" s="40">
        <v>1.7753424657534247</v>
      </c>
      <c r="J25" s="41">
        <v>100</v>
      </c>
      <c r="K25" s="42">
        <v>128.9</v>
      </c>
      <c r="L25" s="43">
        <v>0.77967416602017048</v>
      </c>
      <c r="M25" s="44">
        <v>105.6</v>
      </c>
      <c r="N25" s="45">
        <v>0.35441194029850764</v>
      </c>
      <c r="O25" s="46">
        <v>10339.999999999995</v>
      </c>
      <c r="P25" s="47">
        <v>1</v>
      </c>
      <c r="Q25" s="48">
        <v>25000</v>
      </c>
      <c r="R25" s="47">
        <v>0.17199999999999999</v>
      </c>
      <c r="S25" s="49" t="s">
        <v>27</v>
      </c>
      <c r="T25" s="50"/>
      <c r="U25" s="51"/>
      <c r="V25" s="52" t="str">
        <f t="shared" si="0"/>
        <v>美律四</v>
      </c>
      <c r="W25" s="53">
        <v>3.0000000000000001E-3</v>
      </c>
    </row>
    <row r="26" spans="1:23" s="5" customFormat="1" ht="15.75" customHeight="1" x14ac:dyDescent="0.25">
      <c r="A26" s="34" t="s">
        <v>30</v>
      </c>
      <c r="B26" s="35">
        <v>24395</v>
      </c>
      <c r="C26" s="35" t="s">
        <v>71</v>
      </c>
      <c r="D26" s="36" t="s">
        <v>88</v>
      </c>
      <c r="E26" s="37">
        <v>4.8300000000000003E-2</v>
      </c>
      <c r="F26" s="38">
        <v>2.5000000000000001E-2</v>
      </c>
      <c r="G26" s="39">
        <v>46576</v>
      </c>
      <c r="H26" s="39">
        <v>46590</v>
      </c>
      <c r="I26" s="40">
        <v>1.8082191780821917</v>
      </c>
      <c r="J26" s="41">
        <v>100</v>
      </c>
      <c r="K26" s="42">
        <v>125.2</v>
      </c>
      <c r="L26" s="43">
        <v>0.80271565495207664</v>
      </c>
      <c r="M26" s="44">
        <v>106.95</v>
      </c>
      <c r="N26" s="45">
        <v>0.3323522388059702</v>
      </c>
      <c r="O26" s="46">
        <v>11780.000000000004</v>
      </c>
      <c r="P26" s="47">
        <v>1</v>
      </c>
      <c r="Q26" s="48">
        <v>5000</v>
      </c>
      <c r="R26" s="47">
        <v>0.17199999999999999</v>
      </c>
      <c r="S26" s="49" t="s">
        <v>27</v>
      </c>
      <c r="T26" s="50"/>
      <c r="U26" s="51"/>
      <c r="V26" s="52" t="str">
        <f t="shared" si="0"/>
        <v>美律五</v>
      </c>
      <c r="W26" s="53">
        <v>3.0000000000000001E-3</v>
      </c>
    </row>
    <row r="27" spans="1:23" s="5" customFormat="1" ht="17.25" customHeight="1" x14ac:dyDescent="0.25">
      <c r="A27" s="34" t="s">
        <v>90</v>
      </c>
      <c r="B27" s="35">
        <v>24616</v>
      </c>
      <c r="C27" s="35" t="s">
        <v>65</v>
      </c>
      <c r="D27" s="36" t="s">
        <v>69</v>
      </c>
      <c r="E27" s="37">
        <v>1.3600000000000001E-2</v>
      </c>
      <c r="F27" s="38">
        <v>2.1999999999999999E-2</v>
      </c>
      <c r="G27" s="39">
        <v>46091</v>
      </c>
      <c r="H27" s="39">
        <v>46105</v>
      </c>
      <c r="I27" s="40">
        <v>0.47945205479452052</v>
      </c>
      <c r="J27" s="41">
        <v>100</v>
      </c>
      <c r="K27" s="42">
        <v>14.5</v>
      </c>
      <c r="L27" s="43">
        <v>1.1172413793103448</v>
      </c>
      <c r="M27" s="44">
        <v>140</v>
      </c>
      <c r="N27" s="45">
        <v>0.25308641975308649</v>
      </c>
      <c r="O27" s="46">
        <v>41360</v>
      </c>
      <c r="P27" s="47">
        <v>0.42683333333333334</v>
      </c>
      <c r="Q27" s="48">
        <v>6000</v>
      </c>
      <c r="R27" s="47">
        <v>0.193</v>
      </c>
      <c r="S27" s="49" t="s">
        <v>27</v>
      </c>
      <c r="T27" s="50"/>
      <c r="U27" s="51"/>
      <c r="V27" s="52" t="str">
        <f t="shared" si="0"/>
        <v>光群雷六</v>
      </c>
      <c r="W27" s="53">
        <v>3.0000000000000001E-3</v>
      </c>
    </row>
    <row r="28" spans="1:23" s="5" customFormat="1" ht="17.25" customHeight="1" x14ac:dyDescent="0.25">
      <c r="A28" s="34" t="s">
        <v>91</v>
      </c>
      <c r="B28" s="35">
        <v>24624</v>
      </c>
      <c r="C28" s="35" t="s">
        <v>71</v>
      </c>
      <c r="D28" s="36" t="s">
        <v>69</v>
      </c>
      <c r="E28" s="37">
        <v>3.5400000000000008E-2</v>
      </c>
      <c r="F28" s="38">
        <v>3.7499999999999999E-2</v>
      </c>
      <c r="G28" s="39">
        <v>46231</v>
      </c>
      <c r="H28" s="39">
        <v>46245</v>
      </c>
      <c r="I28" s="40">
        <v>0.86301369863013699</v>
      </c>
      <c r="J28" s="41">
        <v>100</v>
      </c>
      <c r="K28" s="42">
        <v>30.09</v>
      </c>
      <c r="L28" s="43">
        <v>0.85410435360584913</v>
      </c>
      <c r="M28" s="44">
        <v>102.05</v>
      </c>
      <c r="N28" s="45">
        <v>0.19481887159533071</v>
      </c>
      <c r="O28" s="46">
        <v>5589.9999999999982</v>
      </c>
      <c r="P28" s="47">
        <v>0.61075000000000002</v>
      </c>
      <c r="Q28" s="48">
        <v>4000</v>
      </c>
      <c r="R28" s="47">
        <v>0.28499999999999998</v>
      </c>
      <c r="S28" s="49" t="s">
        <v>28</v>
      </c>
      <c r="T28" s="50"/>
      <c r="U28" s="51"/>
      <c r="V28" s="52" t="str">
        <f t="shared" si="0"/>
        <v>良得電四</v>
      </c>
      <c r="W28" s="53">
        <v>3.0000000000000001E-3</v>
      </c>
    </row>
    <row r="29" spans="1:23" s="5" customFormat="1" ht="17.25" customHeight="1" x14ac:dyDescent="0.25">
      <c r="A29" s="34" t="s">
        <v>92</v>
      </c>
      <c r="B29" s="35">
        <v>24642</v>
      </c>
      <c r="C29" s="35" t="s">
        <v>71</v>
      </c>
      <c r="D29" s="36" t="s">
        <v>69</v>
      </c>
      <c r="E29" s="37">
        <v>4.1300000000000003E-2</v>
      </c>
      <c r="F29" s="38">
        <v>4.4999999999999998E-2</v>
      </c>
      <c r="G29" s="39">
        <v>46267</v>
      </c>
      <c r="H29" s="39">
        <v>46281</v>
      </c>
      <c r="I29" s="40">
        <v>0.9616438356164384</v>
      </c>
      <c r="J29" s="41">
        <v>100.5</v>
      </c>
      <c r="K29" s="42">
        <v>78.5</v>
      </c>
      <c r="L29" s="43">
        <v>0.85222929936305736</v>
      </c>
      <c r="M29" s="44">
        <v>110</v>
      </c>
      <c r="N29" s="45">
        <v>0.29073243647234681</v>
      </c>
      <c r="O29" s="46">
        <v>14130</v>
      </c>
      <c r="P29" s="47">
        <v>0.98029999999999995</v>
      </c>
      <c r="Q29" s="48">
        <v>10000</v>
      </c>
      <c r="R29" s="47">
        <v>0.378</v>
      </c>
      <c r="S29" s="49" t="s">
        <v>28</v>
      </c>
      <c r="T29" s="50"/>
      <c r="U29" s="51"/>
      <c r="V29" s="52" t="str">
        <f t="shared" si="0"/>
        <v>盟立二</v>
      </c>
      <c r="W29" s="53">
        <v>3.0000000000000001E-3</v>
      </c>
    </row>
    <row r="30" spans="1:23" s="5" customFormat="1" ht="17.25" customHeight="1" x14ac:dyDescent="0.25">
      <c r="A30" s="34" t="s">
        <v>93</v>
      </c>
      <c r="B30" s="35">
        <v>24762</v>
      </c>
      <c r="C30" s="35" t="s">
        <v>71</v>
      </c>
      <c r="D30" s="36" t="s">
        <v>73</v>
      </c>
      <c r="E30" s="37">
        <v>3.7500000000000006E-2</v>
      </c>
      <c r="F30" s="38">
        <v>2.5999999999999999E-2</v>
      </c>
      <c r="G30" s="39">
        <v>46399</v>
      </c>
      <c r="H30" s="39">
        <v>46413</v>
      </c>
      <c r="I30" s="40">
        <v>1.3232876712328767</v>
      </c>
      <c r="J30" s="41">
        <v>100</v>
      </c>
      <c r="K30" s="42">
        <v>66.5</v>
      </c>
      <c r="L30" s="43">
        <v>1.5187969924812028</v>
      </c>
      <c r="M30" s="44">
        <v>151</v>
      </c>
      <c r="N30" s="45">
        <v>-5.7920792079207166E-3</v>
      </c>
      <c r="O30" s="46">
        <v>54750</v>
      </c>
      <c r="P30" s="47">
        <v>0.52490000000000003</v>
      </c>
      <c r="Q30" s="48">
        <v>10000</v>
      </c>
      <c r="R30" s="47">
        <v>0.39400000000000002</v>
      </c>
      <c r="S30" s="49" t="s">
        <v>28</v>
      </c>
      <c r="T30" s="50"/>
      <c r="U30" s="51"/>
      <c r="V30" s="52" t="str">
        <f t="shared" si="0"/>
        <v>鉅祥二</v>
      </c>
      <c r="W30" s="53">
        <v>3.0000000000000001E-3</v>
      </c>
    </row>
    <row r="31" spans="1:23" s="5" customFormat="1" ht="17.25" customHeight="1" x14ac:dyDescent="0.25">
      <c r="A31" s="34" t="s">
        <v>94</v>
      </c>
      <c r="B31" s="35">
        <v>25283</v>
      </c>
      <c r="C31" s="35" t="s">
        <v>95</v>
      </c>
      <c r="D31" s="36" t="s">
        <v>61</v>
      </c>
      <c r="E31" s="37">
        <v>4.7300000000000009E-2</v>
      </c>
      <c r="F31" s="38">
        <v>2.3E-2</v>
      </c>
      <c r="G31" s="39">
        <v>46738</v>
      </c>
      <c r="H31" s="39">
        <v>46752</v>
      </c>
      <c r="I31" s="40">
        <v>2.2520547945205478</v>
      </c>
      <c r="J31" s="41">
        <v>100.752</v>
      </c>
      <c r="K31" s="42">
        <v>42.4</v>
      </c>
      <c r="L31" s="43">
        <v>0.67688679245283023</v>
      </c>
      <c r="M31" s="44">
        <v>107.2</v>
      </c>
      <c r="N31" s="45">
        <v>0.58372125435540057</v>
      </c>
      <c r="O31" s="46">
        <v>11930.000000000004</v>
      </c>
      <c r="P31" s="47">
        <v>1</v>
      </c>
      <c r="Q31" s="48">
        <v>6000</v>
      </c>
      <c r="R31" s="47">
        <v>0.34799999999999998</v>
      </c>
      <c r="S31" s="49" t="s">
        <v>27</v>
      </c>
      <c r="T31" s="50"/>
      <c r="U31" s="51"/>
      <c r="V31" s="52" t="str">
        <f t="shared" si="0"/>
        <v>皇普三</v>
      </c>
      <c r="W31" s="53">
        <v>3.0000000000000001E-3</v>
      </c>
    </row>
    <row r="32" spans="1:23" s="5" customFormat="1" ht="17.25" customHeight="1" x14ac:dyDescent="0.25">
      <c r="A32" s="34" t="s">
        <v>96</v>
      </c>
      <c r="B32" s="35">
        <v>26107</v>
      </c>
      <c r="C32" s="35" t="s">
        <v>71</v>
      </c>
      <c r="D32" s="36" t="s">
        <v>73</v>
      </c>
      <c r="E32" s="37">
        <v>1.7399999999999999E-2</v>
      </c>
      <c r="F32" s="38">
        <v>2.5000000000000001E-2</v>
      </c>
      <c r="G32" s="39">
        <v>46126</v>
      </c>
      <c r="H32" s="39">
        <v>46140</v>
      </c>
      <c r="I32" s="40">
        <v>0.57534246575342463</v>
      </c>
      <c r="J32" s="41">
        <v>100</v>
      </c>
      <c r="K32" s="42">
        <v>16.899999999999999</v>
      </c>
      <c r="L32" s="43">
        <v>1.2248520710059172</v>
      </c>
      <c r="M32" s="44">
        <v>127.4</v>
      </c>
      <c r="N32" s="45">
        <v>4.0125603864734294E-2</v>
      </c>
      <c r="O32" s="46">
        <v>29140.000000000011</v>
      </c>
      <c r="P32" s="47">
        <v>0.22997777777777778</v>
      </c>
      <c r="Q32" s="48">
        <v>45000</v>
      </c>
      <c r="R32" s="47">
        <v>0.23100000000000001</v>
      </c>
      <c r="S32" s="49" t="s">
        <v>28</v>
      </c>
      <c r="T32" s="50"/>
      <c r="U32" s="51"/>
      <c r="V32" s="52" t="str">
        <f t="shared" si="0"/>
        <v>華航七</v>
      </c>
      <c r="W32" s="53">
        <v>3.0000000000000001E-3</v>
      </c>
    </row>
    <row r="33" spans="1:23" s="5" customFormat="1" ht="17.25" customHeight="1" x14ac:dyDescent="0.25">
      <c r="A33" s="34" t="s">
        <v>97</v>
      </c>
      <c r="B33" s="35">
        <v>27271</v>
      </c>
      <c r="C33" s="35" t="s">
        <v>71</v>
      </c>
      <c r="D33" s="36" t="s">
        <v>73</v>
      </c>
      <c r="E33" s="37">
        <v>9.2999999999999992E-3</v>
      </c>
      <c r="F33" s="38">
        <v>2.8000000000000001E-2</v>
      </c>
      <c r="G33" s="39">
        <v>46097</v>
      </c>
      <c r="H33" s="39">
        <v>46110</v>
      </c>
      <c r="I33" s="40">
        <v>0.49315068493150682</v>
      </c>
      <c r="J33" s="41">
        <v>100.75190000000001</v>
      </c>
      <c r="K33" s="42">
        <v>233.4</v>
      </c>
      <c r="L33" s="43">
        <v>0.97686375321336749</v>
      </c>
      <c r="M33" s="44">
        <v>109.5</v>
      </c>
      <c r="N33" s="45">
        <v>0.12093421052631587</v>
      </c>
      <c r="O33" s="46">
        <v>10430</v>
      </c>
      <c r="P33" s="47">
        <v>0.99985714285714289</v>
      </c>
      <c r="Q33" s="48">
        <v>7000</v>
      </c>
      <c r="R33" s="47">
        <v>0.113</v>
      </c>
      <c r="S33" s="49" t="s">
        <v>28</v>
      </c>
      <c r="T33" s="50"/>
      <c r="U33" s="51"/>
      <c r="V33" s="52" t="str">
        <f t="shared" si="0"/>
        <v>王品一</v>
      </c>
      <c r="W33" s="53">
        <v>3.0000000000000001E-3</v>
      </c>
    </row>
    <row r="34" spans="1:23" s="5" customFormat="1" ht="17.25" customHeight="1" x14ac:dyDescent="0.25">
      <c r="A34" s="34" t="s">
        <v>98</v>
      </c>
      <c r="B34" s="35">
        <v>27431</v>
      </c>
      <c r="C34" s="35" t="s">
        <v>71</v>
      </c>
      <c r="D34" s="36" t="s">
        <v>73</v>
      </c>
      <c r="E34" s="37">
        <v>5.0300000000000004E-2</v>
      </c>
      <c r="F34" s="38">
        <v>0.03</v>
      </c>
      <c r="G34" s="39">
        <v>46615</v>
      </c>
      <c r="H34" s="39">
        <v>46627</v>
      </c>
      <c r="I34" s="40">
        <v>1.9095890410958904</v>
      </c>
      <c r="J34" s="41">
        <v>101.0025</v>
      </c>
      <c r="K34" s="42">
        <v>135</v>
      </c>
      <c r="L34" s="43">
        <v>0.65703703703703709</v>
      </c>
      <c r="M34" s="44">
        <v>106</v>
      </c>
      <c r="N34" s="45">
        <v>0.61330326944757596</v>
      </c>
      <c r="O34" s="46">
        <v>11030.000000000002</v>
      </c>
      <c r="P34" s="47">
        <v>1</v>
      </c>
      <c r="Q34" s="48">
        <v>3000</v>
      </c>
      <c r="R34" s="47">
        <v>0.35699999999999998</v>
      </c>
      <c r="S34" s="49" t="s">
        <v>28</v>
      </c>
      <c r="T34" s="50"/>
      <c r="U34" s="51"/>
      <c r="V34" s="52" t="str">
        <f t="shared" si="0"/>
        <v>山富一</v>
      </c>
      <c r="W34" s="53">
        <v>3.0000000000000001E-3</v>
      </c>
    </row>
    <row r="35" spans="1:23" s="5" customFormat="1" ht="17.25" customHeight="1" x14ac:dyDescent="0.25">
      <c r="A35" s="34" t="s">
        <v>99</v>
      </c>
      <c r="B35" s="35">
        <v>27551</v>
      </c>
      <c r="C35" s="35" t="s">
        <v>71</v>
      </c>
      <c r="D35" s="36" t="s">
        <v>78</v>
      </c>
      <c r="E35" s="37">
        <v>8.3299999999999999E-2</v>
      </c>
      <c r="F35" s="38">
        <v>3.5000000000000003E-2</v>
      </c>
      <c r="G35" s="39">
        <v>46755</v>
      </c>
      <c r="H35" s="39">
        <v>46767</v>
      </c>
      <c r="I35" s="40">
        <v>2.2931506849315069</v>
      </c>
      <c r="J35" s="41">
        <v>100</v>
      </c>
      <c r="K35" s="42">
        <v>86.7</v>
      </c>
      <c r="L35" s="43">
        <v>1.4532871972318337</v>
      </c>
      <c r="M35" s="44">
        <v>148</v>
      </c>
      <c r="N35" s="45">
        <v>1.8380952380952439E-2</v>
      </c>
      <c r="O35" s="46">
        <v>56330</v>
      </c>
      <c r="P35" s="47">
        <v>0.67600000000000005</v>
      </c>
      <c r="Q35" s="48">
        <v>2000</v>
      </c>
      <c r="R35" s="47">
        <v>0.52100000000000002</v>
      </c>
      <c r="S35" s="49" t="s">
        <v>28</v>
      </c>
      <c r="T35" s="50"/>
      <c r="U35" s="51"/>
      <c r="V35" s="52" t="str">
        <f t="shared" si="0"/>
        <v>揚秦一</v>
      </c>
      <c r="W35" s="53">
        <v>3.0000000000000001E-3</v>
      </c>
    </row>
    <row r="36" spans="1:23" s="5" customFormat="1" ht="17.25" customHeight="1" x14ac:dyDescent="0.25">
      <c r="A36" s="34" t="s">
        <v>100</v>
      </c>
      <c r="B36" s="35">
        <v>27561</v>
      </c>
      <c r="C36" s="35" t="s">
        <v>71</v>
      </c>
      <c r="D36" s="36" t="s">
        <v>78</v>
      </c>
      <c r="E36" s="37">
        <v>1.95E-2</v>
      </c>
      <c r="F36" s="38">
        <v>0.04</v>
      </c>
      <c r="G36" s="39">
        <v>46160</v>
      </c>
      <c r="H36" s="39">
        <v>46172</v>
      </c>
      <c r="I36" s="40">
        <v>0.66301369863013704</v>
      </c>
      <c r="J36" s="41">
        <v>101.0025</v>
      </c>
      <c r="K36" s="42">
        <v>91.3</v>
      </c>
      <c r="L36" s="43">
        <v>1.0208105147864184</v>
      </c>
      <c r="M36" s="44">
        <v>120</v>
      </c>
      <c r="N36" s="45">
        <v>0.17553648068669528</v>
      </c>
      <c r="O36" s="46">
        <v>21950</v>
      </c>
      <c r="P36" s="47">
        <v>0.98333333333333328</v>
      </c>
      <c r="Q36" s="48">
        <v>3000</v>
      </c>
      <c r="R36" s="47">
        <v>0.30199999999999999</v>
      </c>
      <c r="S36" s="49" t="s">
        <v>28</v>
      </c>
      <c r="T36" s="50"/>
      <c r="U36" s="51"/>
      <c r="V36" s="52" t="str">
        <f t="shared" si="0"/>
        <v>聯發國際一</v>
      </c>
      <c r="W36" s="53">
        <v>3.0000000000000001E-3</v>
      </c>
    </row>
    <row r="37" spans="1:23" s="5" customFormat="1" ht="17.25" customHeight="1" x14ac:dyDescent="0.25">
      <c r="A37" s="34" t="s">
        <v>101</v>
      </c>
      <c r="B37" s="35">
        <v>29061</v>
      </c>
      <c r="C37" s="35" t="s">
        <v>71</v>
      </c>
      <c r="D37" s="36" t="s">
        <v>78</v>
      </c>
      <c r="E37" s="37">
        <v>3.9500000000000007E-2</v>
      </c>
      <c r="F37" s="38">
        <v>3.7499999999999999E-2</v>
      </c>
      <c r="G37" s="39">
        <v>46272</v>
      </c>
      <c r="H37" s="55">
        <v>46285</v>
      </c>
      <c r="I37" s="40">
        <v>0.9726027397260274</v>
      </c>
      <c r="J37" s="41">
        <v>100</v>
      </c>
      <c r="K37" s="42">
        <v>16.8</v>
      </c>
      <c r="L37" s="43">
        <v>0.86011904761904756</v>
      </c>
      <c r="M37" s="44">
        <v>100.75</v>
      </c>
      <c r="N37" s="45">
        <v>0.17134948096885816</v>
      </c>
      <c r="O37" s="46">
        <v>4700.0000000000009</v>
      </c>
      <c r="P37" s="47">
        <v>0.57569999999999999</v>
      </c>
      <c r="Q37" s="48">
        <v>10000</v>
      </c>
      <c r="R37" s="47">
        <v>0.105</v>
      </c>
      <c r="S37" s="49" t="s">
        <v>28</v>
      </c>
      <c r="T37" s="50" t="s">
        <v>29</v>
      </c>
      <c r="U37" s="51"/>
      <c r="V37" s="52" t="str">
        <f t="shared" si="0"/>
        <v>高林一</v>
      </c>
      <c r="W37" s="53">
        <v>3.0000000000000001E-3</v>
      </c>
    </row>
    <row r="38" spans="1:23" s="5" customFormat="1" ht="17.25" customHeight="1" x14ac:dyDescent="0.25">
      <c r="A38" s="34" t="s">
        <v>102</v>
      </c>
      <c r="B38" s="35">
        <v>30061</v>
      </c>
      <c r="C38" s="35" t="s">
        <v>71</v>
      </c>
      <c r="D38" s="36" t="s">
        <v>78</v>
      </c>
      <c r="E38" s="37">
        <v>4.6000000000000006E-2</v>
      </c>
      <c r="F38" s="38">
        <v>0.04</v>
      </c>
      <c r="G38" s="39">
        <v>46308</v>
      </c>
      <c r="H38" s="39">
        <v>46322</v>
      </c>
      <c r="I38" s="40">
        <v>1.0739726027397261</v>
      </c>
      <c r="J38" s="41">
        <v>100</v>
      </c>
      <c r="K38" s="42">
        <v>83.6</v>
      </c>
      <c r="L38" s="43">
        <v>0.84449760765550241</v>
      </c>
      <c r="M38" s="44">
        <v>109.9</v>
      </c>
      <c r="N38" s="45">
        <v>0.30136543909348451</v>
      </c>
      <c r="O38" s="46">
        <v>14500.000000000007</v>
      </c>
      <c r="P38" s="47">
        <v>0.99990000000000001</v>
      </c>
      <c r="Q38" s="48">
        <v>10000</v>
      </c>
      <c r="R38" s="47">
        <v>0.47</v>
      </c>
      <c r="S38" s="49" t="s">
        <v>28</v>
      </c>
      <c r="T38" s="50"/>
      <c r="U38" s="51"/>
      <c r="V38" s="52" t="str">
        <f t="shared" si="0"/>
        <v>晶豪科一</v>
      </c>
      <c r="W38" s="53">
        <v>3.0000000000000001E-3</v>
      </c>
    </row>
    <row r="39" spans="1:23" s="5" customFormat="1" ht="17.25" customHeight="1" x14ac:dyDescent="0.25">
      <c r="A39" s="34" t="s">
        <v>103</v>
      </c>
      <c r="B39" s="35">
        <v>30134</v>
      </c>
      <c r="C39" s="35" t="s">
        <v>104</v>
      </c>
      <c r="D39" s="36" t="s">
        <v>78</v>
      </c>
      <c r="E39" s="37">
        <v>5.0200000000000009E-2</v>
      </c>
      <c r="F39" s="38">
        <v>2.3E-2</v>
      </c>
      <c r="G39" s="39">
        <v>46664</v>
      </c>
      <c r="H39" s="39">
        <v>46678</v>
      </c>
      <c r="I39" s="40">
        <v>2.0493150684931507</v>
      </c>
      <c r="J39" s="41">
        <v>100</v>
      </c>
      <c r="K39" s="42">
        <v>143.80000000000001</v>
      </c>
      <c r="L39" s="43">
        <v>0.78233657858136296</v>
      </c>
      <c r="M39" s="44">
        <v>116.3</v>
      </c>
      <c r="N39" s="45">
        <v>0.48657244444444447</v>
      </c>
      <c r="O39" s="46">
        <v>21320</v>
      </c>
      <c r="P39" s="47">
        <v>1</v>
      </c>
      <c r="Q39" s="48">
        <v>5000</v>
      </c>
      <c r="R39" s="47">
        <v>0.39500000000000002</v>
      </c>
      <c r="S39" s="49" t="s">
        <v>27</v>
      </c>
      <c r="T39" s="50"/>
      <c r="U39" s="51"/>
      <c r="V39" s="52" t="str">
        <f t="shared" si="0"/>
        <v>晟銘電四</v>
      </c>
      <c r="W39" s="53">
        <v>3.0000000000000001E-3</v>
      </c>
    </row>
    <row r="40" spans="1:23" s="5" customFormat="1" ht="17.25" customHeight="1" x14ac:dyDescent="0.25">
      <c r="A40" s="34" t="s">
        <v>105</v>
      </c>
      <c r="B40" s="35">
        <v>30238</v>
      </c>
      <c r="C40" s="35" t="s">
        <v>71</v>
      </c>
      <c r="D40" s="36" t="s">
        <v>73</v>
      </c>
      <c r="E40" s="37">
        <v>8.0000000000000002E-3</v>
      </c>
      <c r="F40" s="38">
        <v>2.5000000000000001E-2</v>
      </c>
      <c r="G40" s="39">
        <v>45989</v>
      </c>
      <c r="H40" s="39">
        <v>46003</v>
      </c>
      <c r="I40" s="40">
        <v>0.2</v>
      </c>
      <c r="J40" s="41">
        <v>100</v>
      </c>
      <c r="K40" s="42">
        <v>259.5</v>
      </c>
      <c r="L40" s="43">
        <v>0.88246628131021199</v>
      </c>
      <c r="M40" s="44">
        <v>101.5</v>
      </c>
      <c r="N40" s="45">
        <v>0.15018558951965064</v>
      </c>
      <c r="O40" s="46">
        <v>2300</v>
      </c>
      <c r="P40" s="47">
        <v>0.81669999999999998</v>
      </c>
      <c r="Q40" s="48">
        <v>10000</v>
      </c>
      <c r="R40" s="47">
        <v>0.29399999999999998</v>
      </c>
      <c r="S40" s="49" t="s">
        <v>27</v>
      </c>
      <c r="T40" s="50"/>
      <c r="U40" s="51"/>
      <c r="V40" s="52" t="str">
        <f t="shared" si="0"/>
        <v>信邦八</v>
      </c>
      <c r="W40" s="53">
        <v>3.0000000000000001E-3</v>
      </c>
    </row>
    <row r="41" spans="1:23" s="5" customFormat="1" ht="17.25" customHeight="1" x14ac:dyDescent="0.25">
      <c r="A41" s="34" t="s">
        <v>106</v>
      </c>
      <c r="B41" s="35">
        <v>30454</v>
      </c>
      <c r="C41" s="35" t="s">
        <v>71</v>
      </c>
      <c r="D41" s="36" t="s">
        <v>107</v>
      </c>
      <c r="E41" s="37">
        <v>5.8300000000000005E-2</v>
      </c>
      <c r="F41" s="38">
        <v>2.3E-2</v>
      </c>
      <c r="G41" s="39">
        <v>46793</v>
      </c>
      <c r="H41" s="39">
        <v>46807</v>
      </c>
      <c r="I41" s="40">
        <v>2.4027397260273973</v>
      </c>
      <c r="J41" s="41">
        <v>100</v>
      </c>
      <c r="K41" s="42">
        <v>118.2</v>
      </c>
      <c r="L41" s="43">
        <v>0.90101522842639592</v>
      </c>
      <c r="M41" s="44">
        <v>99</v>
      </c>
      <c r="N41" s="45">
        <v>9.8760563380281663E-2</v>
      </c>
      <c r="O41" s="46">
        <v>4830</v>
      </c>
      <c r="P41" s="47">
        <v>1</v>
      </c>
      <c r="Q41" s="48">
        <v>70000</v>
      </c>
      <c r="R41" s="47">
        <v>9.5000000000000001E-2</v>
      </c>
      <c r="S41" s="49" t="s">
        <v>27</v>
      </c>
      <c r="T41" s="50"/>
      <c r="U41" s="51"/>
      <c r="V41" s="52" t="str">
        <f t="shared" si="0"/>
        <v>台灣大四</v>
      </c>
      <c r="W41" s="53">
        <v>3.0000000000000001E-3</v>
      </c>
    </row>
    <row r="42" spans="1:23" s="5" customFormat="1" ht="17.25" customHeight="1" x14ac:dyDescent="0.25">
      <c r="A42" s="34" t="s">
        <v>108</v>
      </c>
      <c r="B42" s="35">
        <v>30455</v>
      </c>
      <c r="C42" s="35" t="s">
        <v>71</v>
      </c>
      <c r="D42" s="36" t="s">
        <v>107</v>
      </c>
      <c r="E42" s="37">
        <v>5.8400000000000007E-2</v>
      </c>
      <c r="F42" s="38">
        <v>2.3E-2</v>
      </c>
      <c r="G42" s="39">
        <v>46794</v>
      </c>
      <c r="H42" s="39">
        <v>46808</v>
      </c>
      <c r="I42" s="40">
        <v>2.4054794520547946</v>
      </c>
      <c r="J42" s="41">
        <v>100</v>
      </c>
      <c r="K42" s="42">
        <v>111.3</v>
      </c>
      <c r="L42" s="43">
        <v>0.95687331536388143</v>
      </c>
      <c r="M42" s="44">
        <v>101.4</v>
      </c>
      <c r="N42" s="45">
        <v>5.9701408450704249E-2</v>
      </c>
      <c r="O42" s="46">
        <v>7240.0000000000064</v>
      </c>
      <c r="P42" s="47">
        <v>1</v>
      </c>
      <c r="Q42" s="48">
        <v>30000</v>
      </c>
      <c r="R42" s="47">
        <v>9.5000000000000001E-2</v>
      </c>
      <c r="S42" s="49" t="s">
        <v>27</v>
      </c>
      <c r="T42" s="50"/>
      <c r="U42" s="51"/>
      <c r="V42" s="52" t="str">
        <f t="shared" si="0"/>
        <v>台灣大五</v>
      </c>
      <c r="W42" s="53">
        <v>3.0000000000000001E-3</v>
      </c>
    </row>
    <row r="43" spans="1:23" s="5" customFormat="1" ht="17.25" customHeight="1" x14ac:dyDescent="0.25">
      <c r="A43" s="34" t="s">
        <v>109</v>
      </c>
      <c r="B43" s="35">
        <v>30882</v>
      </c>
      <c r="C43" s="35" t="s">
        <v>71</v>
      </c>
      <c r="D43" s="36" t="s">
        <v>78</v>
      </c>
      <c r="E43" s="37">
        <v>3.0299999999999997E-2</v>
      </c>
      <c r="F43" s="38">
        <v>0.03</v>
      </c>
      <c r="G43" s="39">
        <v>46248</v>
      </c>
      <c r="H43" s="39">
        <v>46262</v>
      </c>
      <c r="I43" s="40">
        <v>0.90958904109589045</v>
      </c>
      <c r="J43" s="41">
        <v>100</v>
      </c>
      <c r="K43" s="42">
        <v>88.5</v>
      </c>
      <c r="L43" s="43">
        <v>0.88700564971751417</v>
      </c>
      <c r="M43" s="44">
        <v>107.95</v>
      </c>
      <c r="N43" s="45">
        <v>0.21701592356687893</v>
      </c>
      <c r="O43" s="46">
        <v>10980.000000000002</v>
      </c>
      <c r="P43" s="47">
        <v>0.46074999999999999</v>
      </c>
      <c r="Q43" s="48">
        <v>8000</v>
      </c>
      <c r="R43" s="47">
        <v>0.28699999999999998</v>
      </c>
      <c r="S43" s="49" t="s">
        <v>28</v>
      </c>
      <c r="T43" s="50"/>
      <c r="U43" s="51"/>
      <c r="V43" s="52" t="str">
        <f t="shared" si="0"/>
        <v>艾訊二</v>
      </c>
      <c r="W43" s="53">
        <v>3.0000000000000001E-3</v>
      </c>
    </row>
    <row r="44" spans="1:23" s="5" customFormat="1" ht="17.25" customHeight="1" x14ac:dyDescent="0.25">
      <c r="A44" s="34" t="s">
        <v>110</v>
      </c>
      <c r="B44" s="35">
        <v>30954</v>
      </c>
      <c r="C44" s="35" t="s">
        <v>111</v>
      </c>
      <c r="D44" s="36" t="s">
        <v>112</v>
      </c>
      <c r="E44" s="37">
        <v>3.6800000000000006E-2</v>
      </c>
      <c r="F44" s="38">
        <v>2.4E-2</v>
      </c>
      <c r="G44" s="39">
        <v>46429</v>
      </c>
      <c r="H44" s="39">
        <v>46443</v>
      </c>
      <c r="I44" s="40">
        <v>1.4054794520547946</v>
      </c>
      <c r="J44" s="41">
        <v>100</v>
      </c>
      <c r="K44" s="42">
        <v>41.1</v>
      </c>
      <c r="L44" s="43">
        <v>0.64476885644768855</v>
      </c>
      <c r="M44" s="44">
        <v>110</v>
      </c>
      <c r="N44" s="45">
        <v>0.7060377358490566</v>
      </c>
      <c r="O44" s="46">
        <v>13680</v>
      </c>
      <c r="P44" s="47">
        <v>1</v>
      </c>
      <c r="Q44" s="48">
        <v>1500</v>
      </c>
      <c r="R44" s="47">
        <v>0.78600000000000003</v>
      </c>
      <c r="S44" s="49" t="s">
        <v>27</v>
      </c>
      <c r="T44" s="50"/>
      <c r="U44" s="51"/>
      <c r="V44" s="52" t="str">
        <f t="shared" si="0"/>
        <v>及成四</v>
      </c>
      <c r="W44" s="53">
        <v>3.0000000000000001E-3</v>
      </c>
    </row>
    <row r="45" spans="1:23" s="5" customFormat="1" ht="17.25" customHeight="1" x14ac:dyDescent="0.25">
      <c r="A45" s="34" t="s">
        <v>113</v>
      </c>
      <c r="B45" s="35">
        <v>31311</v>
      </c>
      <c r="C45" s="35" t="s">
        <v>71</v>
      </c>
      <c r="D45" s="36" t="s">
        <v>78</v>
      </c>
      <c r="E45" s="37">
        <v>8.8000000000000009E-2</v>
      </c>
      <c r="F45" s="38">
        <v>0.03</v>
      </c>
      <c r="G45" s="39">
        <v>46951</v>
      </c>
      <c r="H45" s="39">
        <v>46964</v>
      </c>
      <c r="I45" s="40">
        <v>2.8328767123287673</v>
      </c>
      <c r="J45" s="41">
        <v>100</v>
      </c>
      <c r="K45" s="42">
        <v>1736.5</v>
      </c>
      <c r="L45" s="43">
        <v>0.86380650734235531</v>
      </c>
      <c r="M45" s="44">
        <v>121</v>
      </c>
      <c r="N45" s="45">
        <v>0.40077666666666667</v>
      </c>
      <c r="O45" s="46">
        <v>29800</v>
      </c>
      <c r="P45" s="47">
        <v>1</v>
      </c>
      <c r="Q45" s="48">
        <v>10000</v>
      </c>
      <c r="R45" s="47">
        <v>0.626</v>
      </c>
      <c r="S45" s="49" t="s">
        <v>28</v>
      </c>
      <c r="T45" s="50"/>
      <c r="U45" s="54"/>
      <c r="V45" s="52" t="str">
        <f t="shared" si="0"/>
        <v>弘塑一</v>
      </c>
      <c r="W45" s="53">
        <v>3.0000000000000001E-3</v>
      </c>
    </row>
    <row r="46" spans="1:23" s="5" customFormat="1" ht="17.25" customHeight="1" x14ac:dyDescent="0.25">
      <c r="A46" s="34" t="s">
        <v>114</v>
      </c>
      <c r="B46" s="35">
        <v>31312</v>
      </c>
      <c r="C46" s="35" t="s">
        <v>71</v>
      </c>
      <c r="D46" s="36" t="s">
        <v>78</v>
      </c>
      <c r="E46" s="37">
        <v>8.8500000000000009E-2</v>
      </c>
      <c r="F46" s="38">
        <v>0.03</v>
      </c>
      <c r="G46" s="39">
        <v>46958</v>
      </c>
      <c r="H46" s="39">
        <v>46970</v>
      </c>
      <c r="I46" s="40">
        <v>2.8493150684931505</v>
      </c>
      <c r="J46" s="41">
        <v>100</v>
      </c>
      <c r="K46" s="42">
        <v>1626.6</v>
      </c>
      <c r="L46" s="43">
        <v>0.92216894135005534</v>
      </c>
      <c r="M46" s="44">
        <v>123.95</v>
      </c>
      <c r="N46" s="45">
        <v>0.34411380000000003</v>
      </c>
      <c r="O46" s="46">
        <v>32800</v>
      </c>
      <c r="P46" s="47">
        <v>1</v>
      </c>
      <c r="Q46" s="48">
        <v>10000</v>
      </c>
      <c r="R46" s="47">
        <v>0.626</v>
      </c>
      <c r="S46" s="49" t="s">
        <v>28</v>
      </c>
      <c r="T46" s="50"/>
      <c r="U46" s="54"/>
      <c r="V46" s="52" t="str">
        <f t="shared" si="0"/>
        <v>弘塑二</v>
      </c>
      <c r="W46" s="53">
        <v>3.0000000000000001E-3</v>
      </c>
    </row>
    <row r="47" spans="1:23" s="5" customFormat="1" ht="17.100000000000001" customHeight="1" x14ac:dyDescent="0.25">
      <c r="A47" s="34" t="s">
        <v>115</v>
      </c>
      <c r="B47" s="35">
        <v>32571</v>
      </c>
      <c r="C47" s="35" t="s">
        <v>71</v>
      </c>
      <c r="D47" s="36" t="s">
        <v>69</v>
      </c>
      <c r="E47" s="37">
        <v>7.1500000000000008E-2</v>
      </c>
      <c r="F47" s="38">
        <v>0.04</v>
      </c>
      <c r="G47" s="39">
        <v>46678</v>
      </c>
      <c r="H47" s="39">
        <v>46692</v>
      </c>
      <c r="I47" s="40">
        <v>2.0876712328767124</v>
      </c>
      <c r="J47" s="41">
        <v>101.50749999999999</v>
      </c>
      <c r="K47" s="42">
        <v>72.2</v>
      </c>
      <c r="L47" s="43">
        <v>0.9349030470914127</v>
      </c>
      <c r="M47" s="44">
        <v>116.7</v>
      </c>
      <c r="N47" s="45">
        <v>0.24825777777777785</v>
      </c>
      <c r="O47" s="46">
        <v>23850.000000000004</v>
      </c>
      <c r="P47" s="47">
        <v>1</v>
      </c>
      <c r="Q47" s="48">
        <v>5000</v>
      </c>
      <c r="R47" s="47">
        <v>0.44900000000000001</v>
      </c>
      <c r="S47" s="49" t="s">
        <v>28</v>
      </c>
      <c r="T47" s="50"/>
      <c r="U47" s="54"/>
      <c r="V47" s="52" t="str">
        <f t="shared" si="0"/>
        <v>虹冠電一</v>
      </c>
      <c r="W47" s="53">
        <v>3.0000000000000001E-3</v>
      </c>
    </row>
    <row r="48" spans="1:23" s="5" customFormat="1" ht="17.100000000000001" customHeight="1" x14ac:dyDescent="0.25">
      <c r="A48" s="34" t="s">
        <v>116</v>
      </c>
      <c r="B48" s="35">
        <v>33055</v>
      </c>
      <c r="C48" s="35" t="s">
        <v>71</v>
      </c>
      <c r="D48" s="36" t="s">
        <v>69</v>
      </c>
      <c r="E48" s="37">
        <v>2.3E-3</v>
      </c>
      <c r="F48" s="38">
        <v>0.04</v>
      </c>
      <c r="G48" s="39">
        <v>46002</v>
      </c>
      <c r="H48" s="39">
        <v>46016</v>
      </c>
      <c r="I48" s="40">
        <v>0.23561643835616439</v>
      </c>
      <c r="J48" s="41">
        <v>101.0025</v>
      </c>
      <c r="K48" s="42">
        <v>73.3</v>
      </c>
      <c r="L48" s="43">
        <v>1.4392905866302865</v>
      </c>
      <c r="M48" s="44">
        <v>144</v>
      </c>
      <c r="N48" s="45">
        <v>4.9289099526062116E-4</v>
      </c>
      <c r="O48" s="46">
        <v>44230</v>
      </c>
      <c r="P48" s="47">
        <v>0.20574999999999999</v>
      </c>
      <c r="Q48" s="48">
        <v>8000</v>
      </c>
      <c r="R48" s="47">
        <v>0.97</v>
      </c>
      <c r="S48" s="49" t="s">
        <v>28</v>
      </c>
      <c r="T48" s="50"/>
      <c r="U48" s="54"/>
      <c r="V48" s="52" t="str">
        <f t="shared" ref="V48:V91" si="1">A48</f>
        <v>昇貿五</v>
      </c>
      <c r="W48" s="53">
        <v>3.0000000000000001E-3</v>
      </c>
    </row>
    <row r="49" spans="1:23" s="5" customFormat="1" ht="17.100000000000001" customHeight="1" x14ac:dyDescent="0.25">
      <c r="A49" s="34" t="s">
        <v>117</v>
      </c>
      <c r="B49" s="35">
        <v>33133</v>
      </c>
      <c r="C49" s="35" t="s">
        <v>95</v>
      </c>
      <c r="D49" s="36" t="s">
        <v>61</v>
      </c>
      <c r="E49" s="37">
        <v>5.2800000000000007E-2</v>
      </c>
      <c r="F49" s="38">
        <v>2.3E-2</v>
      </c>
      <c r="G49" s="39">
        <v>46706</v>
      </c>
      <c r="H49" s="39">
        <v>46720</v>
      </c>
      <c r="I49" s="40">
        <v>2.1643835616438358</v>
      </c>
      <c r="J49" s="41">
        <v>100</v>
      </c>
      <c r="K49" s="42">
        <v>15.7</v>
      </c>
      <c r="L49" s="43">
        <v>1.2515923566878981</v>
      </c>
      <c r="M49" s="44">
        <v>128.9</v>
      </c>
      <c r="N49" s="45">
        <v>2.9888040712468159E-2</v>
      </c>
      <c r="O49" s="46">
        <v>34180.000000000007</v>
      </c>
      <c r="P49" s="47">
        <v>0.98824999999999996</v>
      </c>
      <c r="Q49" s="48">
        <v>4000</v>
      </c>
      <c r="R49" s="47">
        <v>0.63900000000000001</v>
      </c>
      <c r="S49" s="49" t="s">
        <v>27</v>
      </c>
      <c r="T49" s="50"/>
      <c r="U49" s="54"/>
      <c r="V49" s="52" t="str">
        <f t="shared" si="1"/>
        <v>斐成三</v>
      </c>
      <c r="W49" s="53">
        <v>3.0000000000000001E-3</v>
      </c>
    </row>
    <row r="50" spans="1:23" s="5" customFormat="1" ht="17.100000000000001" customHeight="1" x14ac:dyDescent="0.25">
      <c r="A50" s="34" t="s">
        <v>118</v>
      </c>
      <c r="B50" s="35">
        <v>33245</v>
      </c>
      <c r="C50" s="35" t="s">
        <v>71</v>
      </c>
      <c r="D50" s="36" t="s">
        <v>73</v>
      </c>
      <c r="E50" s="37">
        <v>3.3800000000000004E-2</v>
      </c>
      <c r="F50" s="38">
        <v>2.5000000000000001E-2</v>
      </c>
      <c r="G50" s="39">
        <v>46587</v>
      </c>
      <c r="H50" s="39">
        <v>46599</v>
      </c>
      <c r="I50" s="40">
        <v>1.832876712328767</v>
      </c>
      <c r="J50" s="41">
        <v>101.50749999999999</v>
      </c>
      <c r="K50" s="42">
        <v>734.4</v>
      </c>
      <c r="L50" s="43">
        <v>1.1097494553376908</v>
      </c>
      <c r="M50" s="44">
        <v>134.80000000000001</v>
      </c>
      <c r="N50" s="45">
        <v>0.2146885889570552</v>
      </c>
      <c r="O50" s="46">
        <v>38180.000000000007</v>
      </c>
      <c r="P50" s="47">
        <v>1</v>
      </c>
      <c r="Q50" s="48">
        <v>15000</v>
      </c>
      <c r="R50" s="47">
        <v>0.42599999999999999</v>
      </c>
      <c r="S50" s="49" t="s">
        <v>27</v>
      </c>
      <c r="T50" s="50"/>
      <c r="U50" s="54"/>
      <c r="V50" s="52" t="str">
        <f t="shared" si="1"/>
        <v>雙鴻五</v>
      </c>
      <c r="W50" s="53">
        <v>3.0000000000000001E-3</v>
      </c>
    </row>
    <row r="51" spans="1:23" s="5" customFormat="1" ht="17.25" customHeight="1" x14ac:dyDescent="0.25">
      <c r="A51" s="34" t="s">
        <v>119</v>
      </c>
      <c r="B51" s="35">
        <v>33571</v>
      </c>
      <c r="C51" s="35" t="s">
        <v>71</v>
      </c>
      <c r="D51" s="36" t="s">
        <v>73</v>
      </c>
      <c r="E51" s="37">
        <v>3.2300000000000002E-2</v>
      </c>
      <c r="F51" s="38">
        <v>2.7E-2</v>
      </c>
      <c r="G51" s="39">
        <v>46314</v>
      </c>
      <c r="H51" s="39">
        <v>46326</v>
      </c>
      <c r="I51" s="40">
        <v>1.0849315068493151</v>
      </c>
      <c r="J51" s="41">
        <v>100</v>
      </c>
      <c r="K51" s="42">
        <v>108.9</v>
      </c>
      <c r="L51" s="43">
        <v>1.1753902662993572</v>
      </c>
      <c r="M51" s="44">
        <v>126</v>
      </c>
      <c r="N51" s="45">
        <v>7.1984375000000017E-2</v>
      </c>
      <c r="O51" s="46">
        <v>29230</v>
      </c>
      <c r="P51" s="47">
        <v>0.99990909090909086</v>
      </c>
      <c r="Q51" s="48">
        <v>11000</v>
      </c>
      <c r="R51" s="47">
        <v>0.28100000000000003</v>
      </c>
      <c r="S51" s="49" t="s">
        <v>27</v>
      </c>
      <c r="T51" s="50"/>
      <c r="U51" s="54"/>
      <c r="V51" s="52" t="str">
        <f t="shared" si="1"/>
        <v>臺慶科一</v>
      </c>
      <c r="W51" s="53">
        <v>3.0000000000000001E-3</v>
      </c>
    </row>
    <row r="52" spans="1:23" s="5" customFormat="1" ht="17.25" customHeight="1" x14ac:dyDescent="0.25">
      <c r="A52" s="34" t="s">
        <v>120</v>
      </c>
      <c r="B52" s="35">
        <v>33621</v>
      </c>
      <c r="C52" s="35" t="s">
        <v>121</v>
      </c>
      <c r="D52" s="36" t="s">
        <v>69</v>
      </c>
      <c r="E52" s="37">
        <v>3.6800000000000006E-2</v>
      </c>
      <c r="F52" s="38">
        <v>2.3E-2</v>
      </c>
      <c r="G52" s="39">
        <v>46570</v>
      </c>
      <c r="H52" s="39">
        <v>46584</v>
      </c>
      <c r="I52" s="40">
        <v>1.7917808219178082</v>
      </c>
      <c r="J52" s="41">
        <v>100.75</v>
      </c>
      <c r="K52" s="42">
        <v>251</v>
      </c>
      <c r="L52" s="43">
        <v>0.42828685258964144</v>
      </c>
      <c r="M52" s="44">
        <v>101.8</v>
      </c>
      <c r="N52" s="45">
        <v>1.3769116279069766</v>
      </c>
      <c r="O52" s="46">
        <v>5479.9999999999973</v>
      </c>
      <c r="P52" s="47">
        <v>0.99991666666666668</v>
      </c>
      <c r="Q52" s="48">
        <v>12000</v>
      </c>
      <c r="R52" s="47">
        <v>0.376</v>
      </c>
      <c r="S52" s="49" t="s">
        <v>27</v>
      </c>
      <c r="T52" s="50"/>
      <c r="U52" s="54"/>
      <c r="V52" s="52" t="str">
        <f t="shared" si="1"/>
        <v>先進光一</v>
      </c>
      <c r="W52" s="53">
        <v>3.0000000000000001E-3</v>
      </c>
    </row>
    <row r="53" spans="1:23" s="5" customFormat="1" ht="17.25" customHeight="1" x14ac:dyDescent="0.25">
      <c r="A53" s="34" t="s">
        <v>31</v>
      </c>
      <c r="B53" s="35">
        <v>33763</v>
      </c>
      <c r="C53" s="35" t="s">
        <v>71</v>
      </c>
      <c r="D53" s="36" t="s">
        <v>73</v>
      </c>
      <c r="E53" s="37">
        <v>3.5300000000000005E-2</v>
      </c>
      <c r="F53" s="38">
        <v>2.5000000000000001E-2</v>
      </c>
      <c r="G53" s="39">
        <v>46608</v>
      </c>
      <c r="H53" s="39">
        <v>46622</v>
      </c>
      <c r="I53" s="40">
        <v>1.8958904109589041</v>
      </c>
      <c r="J53" s="41">
        <v>101.51</v>
      </c>
      <c r="K53" s="42">
        <v>195.2</v>
      </c>
      <c r="L53" s="43">
        <v>1.211577868852459</v>
      </c>
      <c r="M53" s="44">
        <v>131.69999999999999</v>
      </c>
      <c r="N53" s="45">
        <v>8.7012262156448139E-2</v>
      </c>
      <c r="O53" s="46">
        <v>35229.999999999993</v>
      </c>
      <c r="P53" s="47">
        <v>1</v>
      </c>
      <c r="Q53" s="48">
        <v>8000</v>
      </c>
      <c r="R53" s="47">
        <v>0.58899999999999997</v>
      </c>
      <c r="S53" s="49" t="s">
        <v>27</v>
      </c>
      <c r="T53" s="50"/>
      <c r="U53" s="54"/>
      <c r="V53" s="52" t="str">
        <f t="shared" si="1"/>
        <v>新日興三</v>
      </c>
      <c r="W53" s="53">
        <v>3.0000000000000001E-3</v>
      </c>
    </row>
    <row r="54" spans="1:23" s="5" customFormat="1" ht="17.25" customHeight="1" x14ac:dyDescent="0.25">
      <c r="A54" s="34" t="s">
        <v>122</v>
      </c>
      <c r="B54" s="35">
        <v>33881</v>
      </c>
      <c r="C54" s="35" t="s">
        <v>71</v>
      </c>
      <c r="D54" s="36" t="s">
        <v>73</v>
      </c>
      <c r="E54" s="37">
        <v>6.2100000000000002E-2</v>
      </c>
      <c r="F54" s="38">
        <v>2.8000000000000001E-2</v>
      </c>
      <c r="G54" s="39">
        <v>46686</v>
      </c>
      <c r="H54" s="55">
        <v>46700</v>
      </c>
      <c r="I54" s="40">
        <v>2.1095890410958904</v>
      </c>
      <c r="J54" s="41">
        <v>100</v>
      </c>
      <c r="K54" s="42">
        <v>62.8</v>
      </c>
      <c r="L54" s="43">
        <v>0.99522292993630568</v>
      </c>
      <c r="M54" s="44">
        <v>106.5</v>
      </c>
      <c r="N54" s="45">
        <v>7.0112000000000022E-2</v>
      </c>
      <c r="O54" s="46">
        <v>12709.999999999998</v>
      </c>
      <c r="P54" s="47">
        <v>0.99985714285714289</v>
      </c>
      <c r="Q54" s="48">
        <v>7000</v>
      </c>
      <c r="R54" s="47">
        <v>9.9000000000000005E-2</v>
      </c>
      <c r="S54" s="49" t="s">
        <v>27</v>
      </c>
      <c r="T54" s="50" t="s">
        <v>29</v>
      </c>
      <c r="U54" s="54"/>
      <c r="V54" s="52" t="str">
        <f t="shared" si="1"/>
        <v>崇越電一</v>
      </c>
      <c r="W54" s="53">
        <v>3.0000000000000001E-3</v>
      </c>
    </row>
    <row r="55" spans="1:23" s="5" customFormat="1" ht="17.25" customHeight="1" x14ac:dyDescent="0.25">
      <c r="A55" s="34" t="s">
        <v>123</v>
      </c>
      <c r="B55" s="35">
        <v>33902</v>
      </c>
      <c r="C55" s="35" t="s">
        <v>124</v>
      </c>
      <c r="D55" s="36" t="s">
        <v>67</v>
      </c>
      <c r="E55" s="37">
        <v>5.8100000000000006E-2</v>
      </c>
      <c r="F55" s="38">
        <v>2.3E-2</v>
      </c>
      <c r="G55" s="39">
        <v>46790</v>
      </c>
      <c r="H55" s="39">
        <v>46804</v>
      </c>
      <c r="I55" s="40">
        <v>2.3945205479452056</v>
      </c>
      <c r="J55" s="41">
        <v>100</v>
      </c>
      <c r="K55" s="42">
        <v>24.2</v>
      </c>
      <c r="L55" s="43">
        <v>0.80578512396694213</v>
      </c>
      <c r="M55" s="44">
        <v>109.95</v>
      </c>
      <c r="N55" s="45">
        <v>0.36450769230769248</v>
      </c>
      <c r="O55" s="46">
        <v>15760.000000000005</v>
      </c>
      <c r="P55" s="47">
        <v>1</v>
      </c>
      <c r="Q55" s="48">
        <v>2000</v>
      </c>
      <c r="R55" s="47">
        <v>0.247</v>
      </c>
      <c r="S55" s="49" t="s">
        <v>27</v>
      </c>
      <c r="T55" s="50"/>
      <c r="U55" s="54"/>
      <c r="V55" s="52" t="str">
        <f t="shared" si="1"/>
        <v>旭軟二</v>
      </c>
      <c r="W55" s="53">
        <v>3.0000000000000001E-3</v>
      </c>
    </row>
    <row r="56" spans="1:23" s="5" customFormat="1" ht="17.25" customHeight="1" x14ac:dyDescent="0.25">
      <c r="A56" s="34" t="s">
        <v>125</v>
      </c>
      <c r="B56" s="35">
        <v>34163</v>
      </c>
      <c r="C56" s="35" t="s">
        <v>71</v>
      </c>
      <c r="D56" s="36" t="s">
        <v>78</v>
      </c>
      <c r="E56" s="37">
        <v>6.8999999999999999E-3</v>
      </c>
      <c r="F56" s="38">
        <v>2.75E-2</v>
      </c>
      <c r="G56" s="39">
        <v>46034</v>
      </c>
      <c r="H56" s="39">
        <v>46047</v>
      </c>
      <c r="I56" s="40">
        <v>0.32054794520547947</v>
      </c>
      <c r="J56" s="41">
        <v>100.5</v>
      </c>
      <c r="K56" s="42">
        <v>127.1</v>
      </c>
      <c r="L56" s="43">
        <v>1.3847364280094414</v>
      </c>
      <c r="M56" s="44">
        <v>137.6</v>
      </c>
      <c r="N56" s="45">
        <v>-6.3090909090909178E-3</v>
      </c>
      <c r="O56" s="46">
        <v>38289.999999999993</v>
      </c>
      <c r="P56" s="47">
        <v>0.87539999999999996</v>
      </c>
      <c r="Q56" s="48">
        <v>5000</v>
      </c>
      <c r="R56" s="47">
        <v>0.57999999999999996</v>
      </c>
      <c r="S56" s="49" t="s">
        <v>28</v>
      </c>
      <c r="T56" s="50"/>
      <c r="U56" s="54"/>
      <c r="V56" s="52" t="str">
        <f t="shared" si="1"/>
        <v>融程電三</v>
      </c>
      <c r="W56" s="53">
        <v>3.0000000000000001E-3</v>
      </c>
    </row>
    <row r="57" spans="1:23" s="5" customFormat="1" ht="17.25" customHeight="1" x14ac:dyDescent="0.25">
      <c r="A57" s="34" t="s">
        <v>126</v>
      </c>
      <c r="B57" s="35">
        <v>34793</v>
      </c>
      <c r="C57" s="35" t="s">
        <v>71</v>
      </c>
      <c r="D57" s="36" t="s">
        <v>78</v>
      </c>
      <c r="E57" s="37">
        <v>4.2400000000000007E-2</v>
      </c>
      <c r="F57" s="38">
        <v>0.03</v>
      </c>
      <c r="G57" s="39">
        <v>46395</v>
      </c>
      <c r="H57" s="39">
        <v>46409</v>
      </c>
      <c r="I57" s="40">
        <v>1.3123287671232877</v>
      </c>
      <c r="J57" s="41">
        <v>100</v>
      </c>
      <c r="K57" s="42">
        <v>109.3</v>
      </c>
      <c r="L57" s="43">
        <v>0.99725526075022874</v>
      </c>
      <c r="M57" s="44">
        <v>117</v>
      </c>
      <c r="N57" s="45">
        <v>0.17322018348623858</v>
      </c>
      <c r="O57" s="46">
        <v>21240.000000000004</v>
      </c>
      <c r="P57" s="47">
        <v>1</v>
      </c>
      <c r="Q57" s="48">
        <v>6500</v>
      </c>
      <c r="R57" s="47">
        <v>0.41899999999999998</v>
      </c>
      <c r="S57" s="49" t="s">
        <v>28</v>
      </c>
      <c r="T57" s="50"/>
      <c r="U57" s="54"/>
      <c r="V57" s="52" t="str">
        <f t="shared" si="1"/>
        <v>安勤三</v>
      </c>
      <c r="W57" s="53">
        <v>3.0000000000000001E-3</v>
      </c>
    </row>
    <row r="58" spans="1:23" s="5" customFormat="1" ht="17.25" customHeight="1" x14ac:dyDescent="0.25">
      <c r="A58" s="34" t="s">
        <v>127</v>
      </c>
      <c r="B58" s="35">
        <v>34912</v>
      </c>
      <c r="C58" s="35" t="s">
        <v>71</v>
      </c>
      <c r="D58" s="36" t="s">
        <v>78</v>
      </c>
      <c r="E58" s="37">
        <v>6.0300000000000006E-2</v>
      </c>
      <c r="F58" s="38">
        <v>0.03</v>
      </c>
      <c r="G58" s="39">
        <v>46615</v>
      </c>
      <c r="H58" s="39">
        <v>46627</v>
      </c>
      <c r="I58" s="40">
        <v>1.9095890410958904</v>
      </c>
      <c r="J58" s="41">
        <v>100</v>
      </c>
      <c r="K58" s="42">
        <v>299.60000000000002</v>
      </c>
      <c r="L58" s="43">
        <v>1.4903204272363153</v>
      </c>
      <c r="M58" s="44">
        <v>147</v>
      </c>
      <c r="N58" s="45">
        <v>-1.3634938409854497E-2</v>
      </c>
      <c r="O58" s="46">
        <v>53030</v>
      </c>
      <c r="P58" s="47">
        <v>0.62529999999999997</v>
      </c>
      <c r="Q58" s="48">
        <v>10000</v>
      </c>
      <c r="R58" s="47">
        <v>0.52300000000000002</v>
      </c>
      <c r="S58" s="49" t="s">
        <v>28</v>
      </c>
      <c r="T58" s="50"/>
      <c r="U58" s="54"/>
      <c r="V58" s="52" t="str">
        <f t="shared" si="1"/>
        <v>昇達科二</v>
      </c>
      <c r="W58" s="53">
        <v>3.0000000000000001E-3</v>
      </c>
    </row>
    <row r="59" spans="1:23" s="5" customFormat="1" ht="17.25" customHeight="1" x14ac:dyDescent="0.25">
      <c r="A59" s="34" t="s">
        <v>128</v>
      </c>
      <c r="B59" s="35">
        <v>35161</v>
      </c>
      <c r="C59" s="35" t="s">
        <v>129</v>
      </c>
      <c r="D59" s="36" t="s">
        <v>67</v>
      </c>
      <c r="E59" s="37">
        <v>5.0200000000000009E-2</v>
      </c>
      <c r="F59" s="38">
        <v>2.3E-2</v>
      </c>
      <c r="G59" s="39">
        <v>46664</v>
      </c>
      <c r="H59" s="39">
        <v>46678</v>
      </c>
      <c r="I59" s="40">
        <v>2.0493150684931507</v>
      </c>
      <c r="J59" s="41">
        <v>100</v>
      </c>
      <c r="K59" s="42">
        <v>25.81</v>
      </c>
      <c r="L59" s="43">
        <v>0.80782642386671843</v>
      </c>
      <c r="M59" s="44">
        <v>107</v>
      </c>
      <c r="N59" s="45">
        <v>0.3245419664268584</v>
      </c>
      <c r="O59" s="46">
        <v>12020.000000000002</v>
      </c>
      <c r="P59" s="47">
        <v>1</v>
      </c>
      <c r="Q59" s="48">
        <v>3500</v>
      </c>
      <c r="R59" s="47">
        <v>0.20100000000000001</v>
      </c>
      <c r="S59" s="49" t="s">
        <v>27</v>
      </c>
      <c r="T59" s="50"/>
      <c r="U59" s="54"/>
      <c r="V59" s="52" t="str">
        <f t="shared" si="1"/>
        <v>亞帝歐一</v>
      </c>
      <c r="W59" s="53">
        <v>3.0000000000000001E-3</v>
      </c>
    </row>
    <row r="60" spans="1:23" s="5" customFormat="1" ht="17.25" customHeight="1" x14ac:dyDescent="0.25">
      <c r="A60" s="34" t="s">
        <v>130</v>
      </c>
      <c r="B60" s="35">
        <v>35181</v>
      </c>
      <c r="C60" s="35" t="s">
        <v>131</v>
      </c>
      <c r="D60" s="36" t="s">
        <v>61</v>
      </c>
      <c r="E60" s="37">
        <v>4.6200000000000005E-2</v>
      </c>
      <c r="F60" s="38">
        <v>2.3E-2</v>
      </c>
      <c r="G60" s="39">
        <v>46601</v>
      </c>
      <c r="H60" s="39">
        <v>46614</v>
      </c>
      <c r="I60" s="40">
        <v>1.8739726027397261</v>
      </c>
      <c r="J60" s="41">
        <v>100</v>
      </c>
      <c r="K60" s="42">
        <v>35</v>
      </c>
      <c r="L60" s="43">
        <v>0.62857142857142856</v>
      </c>
      <c r="M60" s="44">
        <v>106.7</v>
      </c>
      <c r="N60" s="45">
        <v>0.69750000000000012</v>
      </c>
      <c r="O60" s="46">
        <v>11320.000000000004</v>
      </c>
      <c r="P60" s="47">
        <v>1</v>
      </c>
      <c r="Q60" s="48">
        <v>3000</v>
      </c>
      <c r="R60" s="47">
        <v>0.68</v>
      </c>
      <c r="S60" s="49" t="s">
        <v>27</v>
      </c>
      <c r="T60" s="50"/>
      <c r="U60" s="54"/>
      <c r="V60" s="52" t="str">
        <f t="shared" si="1"/>
        <v>柏騰一</v>
      </c>
      <c r="W60" s="53">
        <v>3.0000000000000001E-3</v>
      </c>
    </row>
    <row r="61" spans="1:23" s="5" customFormat="1" ht="17.25" customHeight="1" x14ac:dyDescent="0.25">
      <c r="A61" s="34" t="s">
        <v>132</v>
      </c>
      <c r="B61" s="35">
        <v>35221</v>
      </c>
      <c r="C61" s="35" t="s">
        <v>133</v>
      </c>
      <c r="D61" s="36" t="s">
        <v>112</v>
      </c>
      <c r="E61" s="37">
        <v>-2.3E-3</v>
      </c>
      <c r="F61" s="38">
        <v>2.1999999999999999E-2</v>
      </c>
      <c r="G61" s="39">
        <v>45995</v>
      </c>
      <c r="H61" s="39">
        <v>46009</v>
      </c>
      <c r="I61" s="40">
        <v>0.21643835616438356</v>
      </c>
      <c r="J61" s="41">
        <v>101.0025</v>
      </c>
      <c r="K61" s="42">
        <v>18.600000000000001</v>
      </c>
      <c r="L61" s="43">
        <v>0.78494623655913964</v>
      </c>
      <c r="M61" s="44">
        <v>107.6</v>
      </c>
      <c r="N61" s="45">
        <v>0.37079452054794532</v>
      </c>
      <c r="O61" s="46">
        <v>7369.9999999999945</v>
      </c>
      <c r="P61" s="47">
        <v>0.82066666666666666</v>
      </c>
      <c r="Q61" s="48">
        <v>1500</v>
      </c>
      <c r="R61" s="47">
        <v>0.54900000000000004</v>
      </c>
      <c r="S61" s="49" t="s">
        <v>27</v>
      </c>
      <c r="T61" s="50"/>
      <c r="U61" s="54"/>
      <c r="V61" s="52" t="str">
        <f t="shared" si="1"/>
        <v>御嵿一</v>
      </c>
      <c r="W61" s="53">
        <v>3.0000000000000001E-3</v>
      </c>
    </row>
    <row r="62" spans="1:23" s="5" customFormat="1" ht="17.25" customHeight="1" x14ac:dyDescent="0.25">
      <c r="A62" s="34" t="s">
        <v>134</v>
      </c>
      <c r="B62" s="35">
        <v>35267</v>
      </c>
      <c r="C62" s="35" t="s">
        <v>71</v>
      </c>
      <c r="D62" s="36" t="s">
        <v>78</v>
      </c>
      <c r="E62" s="37">
        <v>8.7500000000000008E-2</v>
      </c>
      <c r="F62" s="38">
        <v>0.03</v>
      </c>
      <c r="G62" s="39">
        <v>46944</v>
      </c>
      <c r="H62" s="39">
        <v>46958</v>
      </c>
      <c r="I62" s="40">
        <v>2.8164383561643835</v>
      </c>
      <c r="J62" s="41">
        <v>100</v>
      </c>
      <c r="K62" s="42">
        <v>269.60000000000002</v>
      </c>
      <c r="L62" s="43">
        <v>0.91060830860534114</v>
      </c>
      <c r="M62" s="44">
        <v>115.8</v>
      </c>
      <c r="N62" s="45">
        <v>0.2716773930753566</v>
      </c>
      <c r="O62" s="46">
        <v>24550</v>
      </c>
      <c r="P62" s="47">
        <v>1</v>
      </c>
      <c r="Q62" s="48">
        <v>15000</v>
      </c>
      <c r="R62" s="47">
        <v>0.20899999999999999</v>
      </c>
      <c r="S62" s="49" t="s">
        <v>28</v>
      </c>
      <c r="T62" s="50"/>
      <c r="U62" s="54"/>
      <c r="V62" s="52" t="str">
        <f t="shared" si="1"/>
        <v>凡甲七</v>
      </c>
      <c r="W62" s="53">
        <v>3.0000000000000001E-3</v>
      </c>
    </row>
    <row r="63" spans="1:23" s="5" customFormat="1" ht="17.25" customHeight="1" x14ac:dyDescent="0.25">
      <c r="A63" s="34" t="s">
        <v>135</v>
      </c>
      <c r="B63" s="35">
        <v>35482</v>
      </c>
      <c r="C63" s="35" t="s">
        <v>71</v>
      </c>
      <c r="D63" s="36" t="s">
        <v>73</v>
      </c>
      <c r="E63" s="37">
        <v>3.8700000000000005E-2</v>
      </c>
      <c r="F63" s="38">
        <v>2.8000000000000001E-2</v>
      </c>
      <c r="G63" s="39">
        <v>46381</v>
      </c>
      <c r="H63" s="39">
        <v>46395</v>
      </c>
      <c r="I63" s="40">
        <v>1.273972602739726</v>
      </c>
      <c r="J63" s="41">
        <v>100</v>
      </c>
      <c r="K63" s="42">
        <v>186</v>
      </c>
      <c r="L63" s="43">
        <v>0.5370967741935484</v>
      </c>
      <c r="M63" s="44">
        <v>104</v>
      </c>
      <c r="N63" s="45">
        <v>0.93633633633633628</v>
      </c>
      <c r="O63" s="46">
        <v>7870.0000000000009</v>
      </c>
      <c r="P63" s="47">
        <v>0.99987499999999996</v>
      </c>
      <c r="Q63" s="48">
        <v>8000</v>
      </c>
      <c r="R63" s="47">
        <v>0.51900000000000002</v>
      </c>
      <c r="S63" s="49" t="s">
        <v>28</v>
      </c>
      <c r="T63" s="50"/>
      <c r="U63" s="54"/>
      <c r="V63" s="52" t="str">
        <f t="shared" si="1"/>
        <v>兆利二</v>
      </c>
      <c r="W63" s="53">
        <v>3.0000000000000001E-3</v>
      </c>
    </row>
    <row r="64" spans="1:23" s="5" customFormat="1" ht="17.25" customHeight="1" x14ac:dyDescent="0.25">
      <c r="A64" s="34" t="s">
        <v>136</v>
      </c>
      <c r="B64" s="35">
        <v>35483</v>
      </c>
      <c r="C64" s="35" t="s">
        <v>71</v>
      </c>
      <c r="D64" s="36" t="s">
        <v>73</v>
      </c>
      <c r="E64" s="37">
        <v>6.3200000000000006E-2</v>
      </c>
      <c r="F64" s="38">
        <v>2.5000000000000001E-2</v>
      </c>
      <c r="G64" s="39">
        <v>46794</v>
      </c>
      <c r="H64" s="39">
        <v>46808</v>
      </c>
      <c r="I64" s="40">
        <v>2.4054794520547946</v>
      </c>
      <c r="J64" s="41">
        <v>100</v>
      </c>
      <c r="K64" s="42">
        <v>162.80000000000001</v>
      </c>
      <c r="L64" s="43">
        <v>0.61363636363636365</v>
      </c>
      <c r="M64" s="44">
        <v>102.4</v>
      </c>
      <c r="N64" s="45">
        <v>0.66874074074074075</v>
      </c>
      <c r="O64" s="46">
        <v>8720.0000000000055</v>
      </c>
      <c r="P64" s="47">
        <v>1</v>
      </c>
      <c r="Q64" s="48">
        <v>15000</v>
      </c>
      <c r="R64" s="47">
        <v>0.51900000000000002</v>
      </c>
      <c r="S64" s="49" t="s">
        <v>28</v>
      </c>
      <c r="T64" s="50"/>
      <c r="U64" s="54"/>
      <c r="V64" s="52" t="str">
        <f t="shared" si="1"/>
        <v>兆利三</v>
      </c>
      <c r="W64" s="53">
        <v>3.0000000000000001E-3</v>
      </c>
    </row>
    <row r="65" spans="1:23" s="5" customFormat="1" ht="17.25" customHeight="1" x14ac:dyDescent="0.25">
      <c r="A65" s="34" t="s">
        <v>137</v>
      </c>
      <c r="B65" s="35">
        <v>35831</v>
      </c>
      <c r="C65" s="35" t="s">
        <v>71</v>
      </c>
      <c r="D65" s="36" t="s">
        <v>73</v>
      </c>
      <c r="E65" s="37">
        <v>2.2199999999999998E-2</v>
      </c>
      <c r="F65" s="38">
        <v>2.8000000000000001E-2</v>
      </c>
      <c r="G65" s="39">
        <v>46167</v>
      </c>
      <c r="H65" s="39">
        <v>46180</v>
      </c>
      <c r="I65" s="40">
        <v>0.68493150684931503</v>
      </c>
      <c r="J65" s="41">
        <v>100</v>
      </c>
      <c r="K65" s="42">
        <v>349.3</v>
      </c>
      <c r="L65" s="43">
        <v>1.0807328943601489</v>
      </c>
      <c r="M65" s="44">
        <v>122</v>
      </c>
      <c r="N65" s="45">
        <v>0.12886357615894037</v>
      </c>
      <c r="O65" s="46">
        <v>24220</v>
      </c>
      <c r="P65" s="47">
        <v>1</v>
      </c>
      <c r="Q65" s="48">
        <v>2000</v>
      </c>
      <c r="R65" s="47">
        <v>0.34200000000000003</v>
      </c>
      <c r="S65" s="49" t="s">
        <v>28</v>
      </c>
      <c r="T65" s="50"/>
      <c r="U65" s="54"/>
      <c r="V65" s="52" t="str">
        <f t="shared" si="1"/>
        <v>辛耘一</v>
      </c>
      <c r="W65" s="53">
        <v>3.0000000000000001E-3</v>
      </c>
    </row>
    <row r="66" spans="1:23" s="5" customFormat="1" ht="17.25" customHeight="1" x14ac:dyDescent="0.25">
      <c r="A66" s="34" t="s">
        <v>32</v>
      </c>
      <c r="B66" s="35">
        <v>35832</v>
      </c>
      <c r="C66" s="35" t="s">
        <v>71</v>
      </c>
      <c r="D66" s="36" t="s">
        <v>73</v>
      </c>
      <c r="E66" s="37">
        <v>2.3099999999999999E-2</v>
      </c>
      <c r="F66" s="38">
        <v>2.8000000000000001E-2</v>
      </c>
      <c r="G66" s="39">
        <v>46178</v>
      </c>
      <c r="H66" s="39">
        <v>46192</v>
      </c>
      <c r="I66" s="40">
        <v>0.71780821917808224</v>
      </c>
      <c r="J66" s="41">
        <v>100</v>
      </c>
      <c r="K66" s="42">
        <v>337.4</v>
      </c>
      <c r="L66" s="43">
        <v>1.1188500296384114</v>
      </c>
      <c r="M66" s="44">
        <v>127</v>
      </c>
      <c r="N66" s="45">
        <v>0.13509403973509926</v>
      </c>
      <c r="O66" s="46">
        <v>29310.000000000004</v>
      </c>
      <c r="P66" s="47">
        <v>0.99890000000000001</v>
      </c>
      <c r="Q66" s="48">
        <v>10000</v>
      </c>
      <c r="R66" s="47">
        <v>0.34200000000000003</v>
      </c>
      <c r="S66" s="49" t="s">
        <v>28</v>
      </c>
      <c r="T66" s="50"/>
      <c r="U66" s="54"/>
      <c r="V66" s="52" t="str">
        <f t="shared" si="1"/>
        <v>辛耘二</v>
      </c>
      <c r="W66" s="53">
        <v>3.0000000000000001E-3</v>
      </c>
    </row>
    <row r="67" spans="1:23" s="5" customFormat="1" ht="17.25" customHeight="1" x14ac:dyDescent="0.25">
      <c r="A67" s="34" t="s">
        <v>138</v>
      </c>
      <c r="B67" s="35">
        <v>35871</v>
      </c>
      <c r="C67" s="35" t="s">
        <v>71</v>
      </c>
      <c r="D67" s="36" t="s">
        <v>73</v>
      </c>
      <c r="E67" s="37">
        <v>2.2499999999999999E-2</v>
      </c>
      <c r="F67" s="38">
        <v>2.7E-2</v>
      </c>
      <c r="G67" s="39">
        <v>46181</v>
      </c>
      <c r="H67" s="39">
        <v>46193</v>
      </c>
      <c r="I67" s="40">
        <v>0.72054794520547949</v>
      </c>
      <c r="J67" s="41">
        <v>100</v>
      </c>
      <c r="K67" s="42">
        <v>192</v>
      </c>
      <c r="L67" s="43">
        <v>1.0625</v>
      </c>
      <c r="M67" s="44">
        <v>121</v>
      </c>
      <c r="N67" s="45">
        <v>0.13882352941176471</v>
      </c>
      <c r="O67" s="46">
        <v>23250</v>
      </c>
      <c r="P67" s="47">
        <v>0.75116666666666665</v>
      </c>
      <c r="Q67" s="48">
        <v>6000</v>
      </c>
      <c r="R67" s="47">
        <v>0.28599999999999998</v>
      </c>
      <c r="S67" s="49" t="s">
        <v>28</v>
      </c>
      <c r="T67" s="50"/>
      <c r="U67" s="54"/>
      <c r="V67" s="52" t="str">
        <f t="shared" si="1"/>
        <v>閎康一</v>
      </c>
      <c r="W67" s="53">
        <v>3.0000000000000001E-3</v>
      </c>
    </row>
    <row r="68" spans="1:23" s="5" customFormat="1" ht="17.25" customHeight="1" x14ac:dyDescent="0.25">
      <c r="A68" s="34" t="s">
        <v>139</v>
      </c>
      <c r="B68" s="35">
        <v>36053</v>
      </c>
      <c r="C68" s="35" t="s">
        <v>71</v>
      </c>
      <c r="D68" s="36" t="s">
        <v>78</v>
      </c>
      <c r="E68" s="37">
        <v>6.1900000000000004E-2</v>
      </c>
      <c r="F68" s="38">
        <v>0.04</v>
      </c>
      <c r="G68" s="39">
        <v>46591</v>
      </c>
      <c r="H68" s="39">
        <v>46605</v>
      </c>
      <c r="I68" s="40">
        <v>1.8493150684931507</v>
      </c>
      <c r="J68" s="41">
        <v>101.50749999999999</v>
      </c>
      <c r="K68" s="42">
        <v>50.5</v>
      </c>
      <c r="L68" s="43">
        <v>1.3821782178217823</v>
      </c>
      <c r="M68" s="44">
        <v>145</v>
      </c>
      <c r="N68" s="45">
        <v>4.9068767908309441E-2</v>
      </c>
      <c r="O68" s="46">
        <v>51190</v>
      </c>
      <c r="P68" s="47">
        <v>0.2329</v>
      </c>
      <c r="Q68" s="48">
        <v>10000</v>
      </c>
      <c r="R68" s="47">
        <v>0.50600000000000001</v>
      </c>
      <c r="S68" s="49" t="s">
        <v>28</v>
      </c>
      <c r="T68" s="50"/>
      <c r="U68" s="54"/>
      <c r="V68" s="52" t="str">
        <f t="shared" si="1"/>
        <v>宏致三</v>
      </c>
      <c r="W68" s="53">
        <v>3.0000000000000001E-3</v>
      </c>
    </row>
    <row r="69" spans="1:23" s="5" customFormat="1" ht="17.25" customHeight="1" x14ac:dyDescent="0.25">
      <c r="A69" s="34" t="s">
        <v>140</v>
      </c>
      <c r="B69" s="35">
        <v>36173</v>
      </c>
      <c r="C69" s="35" t="s">
        <v>71</v>
      </c>
      <c r="D69" s="36" t="s">
        <v>73</v>
      </c>
      <c r="E69" s="37">
        <v>7.9000000000000001E-2</v>
      </c>
      <c r="F69" s="38">
        <v>2.8000000000000001E-2</v>
      </c>
      <c r="G69" s="39">
        <v>46906</v>
      </c>
      <c r="H69" s="39">
        <v>46920</v>
      </c>
      <c r="I69" s="40">
        <v>2.7123287671232879</v>
      </c>
      <c r="J69" s="41">
        <v>100</v>
      </c>
      <c r="K69" s="42">
        <v>287.3</v>
      </c>
      <c r="L69" s="43">
        <v>0.71528019491820383</v>
      </c>
      <c r="M69" s="44">
        <v>103.6</v>
      </c>
      <c r="N69" s="45">
        <v>0.44838345498783466</v>
      </c>
      <c r="O69" s="46">
        <v>11499.999999999993</v>
      </c>
      <c r="P69" s="47">
        <v>1</v>
      </c>
      <c r="Q69" s="48">
        <v>15000</v>
      </c>
      <c r="R69" s="47">
        <v>0.22500000000000001</v>
      </c>
      <c r="S69" s="49" t="s">
        <v>28</v>
      </c>
      <c r="T69" s="50"/>
      <c r="U69" s="54"/>
      <c r="V69" s="52" t="str">
        <f t="shared" si="1"/>
        <v>碩天三</v>
      </c>
      <c r="W69" s="53">
        <v>3.0000000000000001E-3</v>
      </c>
    </row>
    <row r="70" spans="1:23" s="5" customFormat="1" ht="17.25" customHeight="1" x14ac:dyDescent="0.25">
      <c r="A70" s="34" t="s">
        <v>141</v>
      </c>
      <c r="B70" s="35">
        <v>36534</v>
      </c>
      <c r="C70" s="35" t="s">
        <v>71</v>
      </c>
      <c r="D70" s="36" t="s">
        <v>88</v>
      </c>
      <c r="E70" s="37">
        <v>7.0000000000000007E-2</v>
      </c>
      <c r="F70" s="38">
        <v>2.5000000000000001E-2</v>
      </c>
      <c r="G70" s="39">
        <v>46895</v>
      </c>
      <c r="H70" s="39">
        <v>46907</v>
      </c>
      <c r="I70" s="40">
        <v>2.6767123287671235</v>
      </c>
      <c r="J70" s="41">
        <v>100</v>
      </c>
      <c r="K70" s="42">
        <v>1314.5</v>
      </c>
      <c r="L70" s="43">
        <v>1.612780524914416</v>
      </c>
      <c r="M70" s="44">
        <v>161</v>
      </c>
      <c r="N70" s="45">
        <v>-1.7240566037735007E-3</v>
      </c>
      <c r="O70" s="46">
        <v>68000</v>
      </c>
      <c r="P70" s="47">
        <v>0.49130000000000001</v>
      </c>
      <c r="Q70" s="48">
        <v>30000</v>
      </c>
      <c r="R70" s="47">
        <v>0.77100000000000002</v>
      </c>
      <c r="S70" s="49" t="s">
        <v>28</v>
      </c>
      <c r="T70" s="50"/>
      <c r="U70" s="54"/>
      <c r="V70" s="52" t="str">
        <f t="shared" si="1"/>
        <v>健策四</v>
      </c>
      <c r="W70" s="53">
        <v>3.0000000000000001E-3</v>
      </c>
    </row>
    <row r="71" spans="1:23" s="5" customFormat="1" ht="17.25" customHeight="1" x14ac:dyDescent="0.25">
      <c r="A71" s="34" t="s">
        <v>142</v>
      </c>
      <c r="B71" s="35">
        <v>36535</v>
      </c>
      <c r="C71" s="35" t="s">
        <v>71</v>
      </c>
      <c r="D71" s="36" t="s">
        <v>88</v>
      </c>
      <c r="E71" s="37">
        <v>7.0699999999999999E-2</v>
      </c>
      <c r="F71" s="38">
        <v>2.5000000000000001E-2</v>
      </c>
      <c r="G71" s="39">
        <v>46903</v>
      </c>
      <c r="H71" s="39">
        <v>46917</v>
      </c>
      <c r="I71" s="40">
        <v>2.7041095890410958</v>
      </c>
      <c r="J71" s="41">
        <v>100</v>
      </c>
      <c r="K71" s="42">
        <v>1308</v>
      </c>
      <c r="L71" s="43">
        <v>1.620795107033639</v>
      </c>
      <c r="M71" s="44">
        <v>162</v>
      </c>
      <c r="N71" s="45">
        <v>-4.9056603773572471E-4</v>
      </c>
      <c r="O71" s="46">
        <v>69070</v>
      </c>
      <c r="P71" s="47">
        <v>0.66825000000000001</v>
      </c>
      <c r="Q71" s="48">
        <v>20000</v>
      </c>
      <c r="R71" s="47">
        <v>0.77100000000000002</v>
      </c>
      <c r="S71" s="49" t="s">
        <v>28</v>
      </c>
      <c r="T71" s="50"/>
      <c r="U71" s="54"/>
      <c r="V71" s="52" t="str">
        <f t="shared" si="1"/>
        <v>健策五</v>
      </c>
      <c r="W71" s="53">
        <v>3.0000000000000001E-3</v>
      </c>
    </row>
    <row r="72" spans="1:23" s="5" customFormat="1" ht="17.25" customHeight="1" x14ac:dyDescent="0.25">
      <c r="A72" s="34" t="s">
        <v>33</v>
      </c>
      <c r="B72" s="35">
        <v>36804</v>
      </c>
      <c r="C72" s="35" t="s">
        <v>71</v>
      </c>
      <c r="D72" s="36" t="s">
        <v>78</v>
      </c>
      <c r="E72" s="37">
        <v>3.4500000000000003E-2</v>
      </c>
      <c r="F72" s="38">
        <v>0.03</v>
      </c>
      <c r="G72" s="39">
        <v>46300</v>
      </c>
      <c r="H72" s="55">
        <v>46313</v>
      </c>
      <c r="I72" s="40">
        <v>1.0493150684931507</v>
      </c>
      <c r="J72" s="41">
        <v>100</v>
      </c>
      <c r="K72" s="42">
        <v>356</v>
      </c>
      <c r="L72" s="43">
        <v>0.952247191011236</v>
      </c>
      <c r="M72" s="44">
        <v>117.15</v>
      </c>
      <c r="N72" s="45">
        <v>0.23024778761061951</v>
      </c>
      <c r="O72" s="46">
        <v>20600.000000000007</v>
      </c>
      <c r="P72" s="47">
        <v>0.36570000000000003</v>
      </c>
      <c r="Q72" s="48">
        <v>10000</v>
      </c>
      <c r="R72" s="47">
        <v>0.36099999999999999</v>
      </c>
      <c r="S72" s="49" t="s">
        <v>28</v>
      </c>
      <c r="T72" s="50" t="s">
        <v>29</v>
      </c>
      <c r="U72" s="54"/>
      <c r="V72" s="52" t="str">
        <f t="shared" si="1"/>
        <v>家登四</v>
      </c>
      <c r="W72" s="53">
        <v>3.0000000000000001E-3</v>
      </c>
    </row>
    <row r="73" spans="1:23" s="5" customFormat="1" ht="17.25" customHeight="1" x14ac:dyDescent="0.25">
      <c r="A73" s="34" t="s">
        <v>143</v>
      </c>
      <c r="B73" s="35">
        <v>36894</v>
      </c>
      <c r="C73" s="35" t="s">
        <v>71</v>
      </c>
      <c r="D73" s="36" t="s">
        <v>69</v>
      </c>
      <c r="E73" s="37">
        <v>1.6899999999999998E-2</v>
      </c>
      <c r="F73" s="38">
        <v>3.2500000000000001E-2</v>
      </c>
      <c r="G73" s="39">
        <v>46072</v>
      </c>
      <c r="H73" s="39">
        <v>46086</v>
      </c>
      <c r="I73" s="40">
        <v>0.42739726027397262</v>
      </c>
      <c r="J73" s="41">
        <v>100</v>
      </c>
      <c r="K73" s="42">
        <v>61.7</v>
      </c>
      <c r="L73" s="43">
        <v>1.5510534846029174</v>
      </c>
      <c r="M73" s="44">
        <v>164</v>
      </c>
      <c r="N73" s="45">
        <v>5.7345872518286295E-2</v>
      </c>
      <c r="O73" s="46">
        <v>65690</v>
      </c>
      <c r="P73" s="47">
        <v>0.1336</v>
      </c>
      <c r="Q73" s="48">
        <v>5000</v>
      </c>
      <c r="R73" s="47">
        <v>0.38800000000000001</v>
      </c>
      <c r="S73" s="49" t="s">
        <v>27</v>
      </c>
      <c r="T73" s="50"/>
      <c r="U73" s="54"/>
      <c r="V73" s="52" t="str">
        <f t="shared" si="1"/>
        <v>湧德四</v>
      </c>
      <c r="W73" s="53">
        <v>3.0000000000000001E-3</v>
      </c>
    </row>
    <row r="74" spans="1:23" s="5" customFormat="1" ht="17.25" customHeight="1" x14ac:dyDescent="0.25">
      <c r="A74" s="34" t="s">
        <v>144</v>
      </c>
      <c r="B74" s="35">
        <v>36913</v>
      </c>
      <c r="C74" s="35" t="s">
        <v>145</v>
      </c>
      <c r="D74" s="36" t="s">
        <v>67</v>
      </c>
      <c r="E74" s="37">
        <v>4.7100000000000003E-2</v>
      </c>
      <c r="F74" s="38">
        <v>2.3E-2</v>
      </c>
      <c r="G74" s="39">
        <v>46615</v>
      </c>
      <c r="H74" s="39">
        <v>46629</v>
      </c>
      <c r="I74" s="40">
        <v>1.9150684931506849</v>
      </c>
      <c r="J74" s="41">
        <v>100</v>
      </c>
      <c r="K74" s="42">
        <v>118</v>
      </c>
      <c r="L74" s="43">
        <v>0.65</v>
      </c>
      <c r="M74" s="44">
        <v>103</v>
      </c>
      <c r="N74" s="45">
        <v>0.58461538461538465</v>
      </c>
      <c r="O74" s="46">
        <v>7710</v>
      </c>
      <c r="P74" s="47">
        <v>1</v>
      </c>
      <c r="Q74" s="48">
        <v>20000</v>
      </c>
      <c r="R74" s="47">
        <v>0.75600000000000001</v>
      </c>
      <c r="S74" s="49" t="s">
        <v>27</v>
      </c>
      <c r="T74" s="50"/>
      <c r="U74" s="54"/>
      <c r="V74" s="52" t="str">
        <f t="shared" si="1"/>
        <v>碩禾三</v>
      </c>
      <c r="W74" s="53">
        <v>3.0000000000000001E-3</v>
      </c>
    </row>
    <row r="75" spans="1:23" s="5" customFormat="1" ht="17.25" customHeight="1" x14ac:dyDescent="0.25">
      <c r="A75" s="34" t="s">
        <v>146</v>
      </c>
      <c r="B75" s="35">
        <v>37083</v>
      </c>
      <c r="C75" s="35" t="s">
        <v>147</v>
      </c>
      <c r="D75" s="36" t="s">
        <v>69</v>
      </c>
      <c r="E75" s="37">
        <v>2.5899999999999999E-2</v>
      </c>
      <c r="F75" s="38">
        <v>2.3E-2</v>
      </c>
      <c r="G75" s="39">
        <v>46279</v>
      </c>
      <c r="H75" s="39">
        <v>46292</v>
      </c>
      <c r="I75" s="40">
        <v>0.99178082191780825</v>
      </c>
      <c r="J75" s="41">
        <v>100</v>
      </c>
      <c r="K75" s="42">
        <v>86.4</v>
      </c>
      <c r="L75" s="43">
        <v>1.458333333333333</v>
      </c>
      <c r="M75" s="44">
        <v>143.6</v>
      </c>
      <c r="N75" s="45">
        <v>-1.5314285714285626E-2</v>
      </c>
      <c r="O75" s="46">
        <v>46189.999999999993</v>
      </c>
      <c r="P75" s="47">
        <v>0.30520000000000003</v>
      </c>
      <c r="Q75" s="48">
        <v>10000</v>
      </c>
      <c r="R75" s="47">
        <v>0.81200000000000006</v>
      </c>
      <c r="S75" s="49" t="s">
        <v>27</v>
      </c>
      <c r="T75" s="50" t="s">
        <v>3</v>
      </c>
      <c r="U75" s="54"/>
      <c r="V75" s="52" t="str">
        <f t="shared" si="1"/>
        <v>上緯投控三</v>
      </c>
      <c r="W75" s="53">
        <v>3.0000000000000001E-3</v>
      </c>
    </row>
    <row r="76" spans="1:23" s="5" customFormat="1" ht="17.25" customHeight="1" x14ac:dyDescent="0.25">
      <c r="A76" s="34" t="s">
        <v>148</v>
      </c>
      <c r="B76" s="35">
        <v>41236</v>
      </c>
      <c r="C76" s="35" t="s">
        <v>149</v>
      </c>
      <c r="D76" s="36" t="s">
        <v>69</v>
      </c>
      <c r="E76" s="37">
        <v>6.2200000000000005E-2</v>
      </c>
      <c r="F76" s="38">
        <v>2.3E-2</v>
      </c>
      <c r="G76" s="39">
        <v>46855</v>
      </c>
      <c r="H76" s="39">
        <v>46869</v>
      </c>
      <c r="I76" s="40">
        <v>2.5726027397260274</v>
      </c>
      <c r="J76" s="41">
        <v>100</v>
      </c>
      <c r="K76" s="42">
        <v>41.3</v>
      </c>
      <c r="L76" s="43">
        <v>0.93946731234866832</v>
      </c>
      <c r="M76" s="44">
        <v>114.25</v>
      </c>
      <c r="N76" s="45">
        <v>0.21611469072164943</v>
      </c>
      <c r="O76" s="46">
        <v>20470</v>
      </c>
      <c r="P76" s="47">
        <v>0.90885714285714281</v>
      </c>
      <c r="Q76" s="48">
        <v>7000</v>
      </c>
      <c r="R76" s="47">
        <v>0.35699999999999998</v>
      </c>
      <c r="S76" s="49" t="s">
        <v>27</v>
      </c>
      <c r="T76" s="50"/>
      <c r="U76" s="54"/>
      <c r="V76" s="52" t="str">
        <f t="shared" si="1"/>
        <v>晟德六</v>
      </c>
      <c r="W76" s="53">
        <v>3.0000000000000001E-3</v>
      </c>
    </row>
    <row r="77" spans="1:23" s="5" customFormat="1" ht="17.25" customHeight="1" x14ac:dyDescent="0.25">
      <c r="A77" s="34" t="s">
        <v>150</v>
      </c>
      <c r="B77" s="35">
        <v>41295</v>
      </c>
      <c r="C77" s="35" t="s">
        <v>71</v>
      </c>
      <c r="D77" s="36" t="s">
        <v>69</v>
      </c>
      <c r="E77" s="37">
        <v>8.7800000000000003E-2</v>
      </c>
      <c r="F77" s="38">
        <v>3.7499999999999999E-2</v>
      </c>
      <c r="G77" s="39">
        <v>46888</v>
      </c>
      <c r="H77" s="39">
        <v>46902</v>
      </c>
      <c r="I77" s="40">
        <v>2.6630136986301371</v>
      </c>
      <c r="J77" s="41">
        <v>101.50749999999999</v>
      </c>
      <c r="K77" s="42">
        <v>105.6</v>
      </c>
      <c r="L77" s="43">
        <v>1.1410984848484849</v>
      </c>
      <c r="M77" s="44">
        <v>122</v>
      </c>
      <c r="N77" s="45">
        <v>6.9145228215767643E-2</v>
      </c>
      <c r="O77" s="46">
        <v>30780</v>
      </c>
      <c r="P77" s="47">
        <v>1</v>
      </c>
      <c r="Q77" s="48">
        <v>7000</v>
      </c>
      <c r="R77" s="47">
        <v>0.30599999999999999</v>
      </c>
      <c r="S77" s="49" t="s">
        <v>28</v>
      </c>
      <c r="T77" s="50"/>
      <c r="U77" s="54"/>
      <c r="V77" s="52" t="str">
        <f t="shared" si="1"/>
        <v>聯合五</v>
      </c>
      <c r="W77" s="53">
        <v>3.0000000000000001E-3</v>
      </c>
    </row>
    <row r="78" spans="1:23" s="5" customFormat="1" ht="17.25" customHeight="1" x14ac:dyDescent="0.25">
      <c r="A78" s="34" t="s">
        <v>151</v>
      </c>
      <c r="B78" s="35">
        <v>41645</v>
      </c>
      <c r="C78" s="35" t="s">
        <v>71</v>
      </c>
      <c r="D78" s="36" t="s">
        <v>69</v>
      </c>
      <c r="E78" s="37">
        <v>0.11130000000000001</v>
      </c>
      <c r="F78" s="38">
        <v>4.2500000000000003E-2</v>
      </c>
      <c r="G78" s="39">
        <v>46910</v>
      </c>
      <c r="H78" s="39">
        <v>46924</v>
      </c>
      <c r="I78" s="40">
        <v>2.7232876712328768</v>
      </c>
      <c r="J78" s="41">
        <v>100.752</v>
      </c>
      <c r="K78" s="42">
        <v>47</v>
      </c>
      <c r="L78" s="43">
        <v>1.0063829787234042</v>
      </c>
      <c r="M78" s="44">
        <v>117</v>
      </c>
      <c r="N78" s="45">
        <v>0.16257928118393244</v>
      </c>
      <c r="O78" s="46">
        <v>28130</v>
      </c>
      <c r="P78" s="47">
        <v>1</v>
      </c>
      <c r="Q78" s="48">
        <v>9000</v>
      </c>
      <c r="R78" s="47">
        <v>0.42499999999999999</v>
      </c>
      <c r="S78" s="49" t="s">
        <v>28</v>
      </c>
      <c r="T78" s="50"/>
      <c r="U78" s="54"/>
      <c r="V78" s="52" t="str">
        <f t="shared" si="1"/>
        <v>承業醫五</v>
      </c>
      <c r="W78" s="53">
        <v>3.0000000000000001E-3</v>
      </c>
    </row>
    <row r="79" spans="1:23" s="5" customFormat="1" ht="17.25" customHeight="1" x14ac:dyDescent="0.25">
      <c r="A79" s="34" t="s">
        <v>152</v>
      </c>
      <c r="B79" s="35">
        <v>41684</v>
      </c>
      <c r="C79" s="35" t="s">
        <v>153</v>
      </c>
      <c r="D79" s="36" t="s">
        <v>67</v>
      </c>
      <c r="E79" s="37">
        <v>7.1400000000000005E-2</v>
      </c>
      <c r="F79" s="38">
        <v>2.3E-2</v>
      </c>
      <c r="G79" s="39">
        <v>47000</v>
      </c>
      <c r="H79" s="39">
        <v>47014</v>
      </c>
      <c r="I79" s="40">
        <v>2.9698630136986299</v>
      </c>
      <c r="J79" s="41">
        <v>100</v>
      </c>
      <c r="K79" s="42">
        <v>24</v>
      </c>
      <c r="L79" s="43">
        <v>1.0520833333333333</v>
      </c>
      <c r="M79" s="44">
        <v>115.85</v>
      </c>
      <c r="N79" s="45">
        <v>0.10114851485148514</v>
      </c>
      <c r="O79" s="46">
        <v>22989.999999999993</v>
      </c>
      <c r="P79" s="47">
        <v>1</v>
      </c>
      <c r="Q79" s="48">
        <v>5000</v>
      </c>
      <c r="R79" s="47">
        <v>0.45600000000000002</v>
      </c>
      <c r="S79" s="49" t="s">
        <v>28</v>
      </c>
      <c r="T79" s="50"/>
      <c r="U79" s="54"/>
      <c r="V79" s="52" t="str">
        <f t="shared" si="1"/>
        <v>醣聯四</v>
      </c>
      <c r="W79" s="53">
        <v>3.0000000000000001E-3</v>
      </c>
    </row>
    <row r="80" spans="1:23" s="5" customFormat="1" ht="17.25" customHeight="1" x14ac:dyDescent="0.25">
      <c r="A80" s="34" t="s">
        <v>154</v>
      </c>
      <c r="B80" s="35">
        <v>44163</v>
      </c>
      <c r="C80" s="35" t="s">
        <v>147</v>
      </c>
      <c r="D80" s="36" t="s">
        <v>61</v>
      </c>
      <c r="E80" s="37">
        <v>4.1000000000000003E-3</v>
      </c>
      <c r="F80" s="38">
        <v>2.1999999999999999E-2</v>
      </c>
      <c r="G80" s="39">
        <v>46281</v>
      </c>
      <c r="H80" s="55">
        <v>46295</v>
      </c>
      <c r="I80" s="40">
        <v>1</v>
      </c>
      <c r="J80" s="41">
        <v>102.1</v>
      </c>
      <c r="K80" s="42">
        <v>65.7</v>
      </c>
      <c r="L80" s="43">
        <v>0.88280060882800593</v>
      </c>
      <c r="M80" s="44">
        <v>106.2</v>
      </c>
      <c r="N80" s="45">
        <v>0.20298965517241396</v>
      </c>
      <c r="O80" s="46">
        <v>6610.0000000000036</v>
      </c>
      <c r="P80" s="47">
        <v>0.95589999999999997</v>
      </c>
      <c r="Q80" s="48">
        <v>10000</v>
      </c>
      <c r="R80" s="47">
        <v>0.24399999999999999</v>
      </c>
      <c r="S80" s="49" t="s">
        <v>27</v>
      </c>
      <c r="T80" s="50" t="s">
        <v>29</v>
      </c>
      <c r="U80" s="54"/>
      <c r="V80" s="52" t="str">
        <f t="shared" si="1"/>
        <v>三圓三</v>
      </c>
      <c r="W80" s="53">
        <v>3.0000000000000001E-3</v>
      </c>
    </row>
    <row r="81" spans="1:23" s="5" customFormat="1" ht="17.25" customHeight="1" x14ac:dyDescent="0.25">
      <c r="A81" s="34" t="s">
        <v>155</v>
      </c>
      <c r="B81" s="35">
        <v>45491</v>
      </c>
      <c r="C81" s="35" t="s">
        <v>71</v>
      </c>
      <c r="D81" s="36" t="s">
        <v>78</v>
      </c>
      <c r="E81" s="37">
        <v>8.72E-2</v>
      </c>
      <c r="F81" s="38">
        <v>0.04</v>
      </c>
      <c r="G81" s="39">
        <v>46685</v>
      </c>
      <c r="H81" s="39">
        <v>46698</v>
      </c>
      <c r="I81" s="40">
        <v>2.1041095890410957</v>
      </c>
      <c r="J81" s="41">
        <v>100</v>
      </c>
      <c r="K81" s="42">
        <v>154.4</v>
      </c>
      <c r="L81" s="43">
        <v>0.77072538860103623</v>
      </c>
      <c r="M81" s="44">
        <v>105.5</v>
      </c>
      <c r="N81" s="45">
        <v>0.36884033613445388</v>
      </c>
      <c r="O81" s="46">
        <v>14220</v>
      </c>
      <c r="P81" s="47">
        <v>1</v>
      </c>
      <c r="Q81" s="48">
        <v>5000</v>
      </c>
      <c r="R81" s="47">
        <v>0.35499999999999998</v>
      </c>
      <c r="S81" s="49" t="s">
        <v>27</v>
      </c>
      <c r="T81" s="50"/>
      <c r="U81" s="54"/>
      <c r="V81" s="52" t="str">
        <f t="shared" si="1"/>
        <v>桓達一</v>
      </c>
      <c r="W81" s="53">
        <v>3.0000000000000001E-3</v>
      </c>
    </row>
    <row r="82" spans="1:23" s="5" customFormat="1" ht="17.25" customHeight="1" x14ac:dyDescent="0.25">
      <c r="A82" s="34" t="s">
        <v>156</v>
      </c>
      <c r="B82" s="35">
        <v>45554</v>
      </c>
      <c r="C82" s="35" t="s">
        <v>157</v>
      </c>
      <c r="D82" s="36" t="s">
        <v>67</v>
      </c>
      <c r="E82" s="37">
        <v>6.5000000000000002E-2</v>
      </c>
      <c r="F82" s="38">
        <v>2.3E-2</v>
      </c>
      <c r="G82" s="39">
        <v>46899</v>
      </c>
      <c r="H82" s="39">
        <v>46913</v>
      </c>
      <c r="I82" s="40">
        <v>2.6931506849315068</v>
      </c>
      <c r="J82" s="41">
        <v>100</v>
      </c>
      <c r="K82" s="42">
        <v>43.4</v>
      </c>
      <c r="L82" s="43">
        <v>0.9573732718894008</v>
      </c>
      <c r="M82" s="44">
        <v>109</v>
      </c>
      <c r="N82" s="45">
        <v>0.13853188929001212</v>
      </c>
      <c r="O82" s="46">
        <v>15500</v>
      </c>
      <c r="P82" s="47">
        <v>1</v>
      </c>
      <c r="Q82" s="48">
        <v>5000</v>
      </c>
      <c r="R82" s="47">
        <v>0.64</v>
      </c>
      <c r="S82" s="49" t="s">
        <v>27</v>
      </c>
      <c r="T82" s="50"/>
      <c r="U82" s="54"/>
      <c r="V82" s="52" t="str">
        <f t="shared" si="1"/>
        <v>氣立四</v>
      </c>
      <c r="W82" s="53">
        <v>3.0000000000000001E-3</v>
      </c>
    </row>
    <row r="83" spans="1:23" s="5" customFormat="1" ht="17.25" customHeight="1" x14ac:dyDescent="0.25">
      <c r="A83" s="34" t="s">
        <v>158</v>
      </c>
      <c r="B83" s="35">
        <v>45581</v>
      </c>
      <c r="C83" s="35" t="s">
        <v>81</v>
      </c>
      <c r="D83" s="36" t="s">
        <v>61</v>
      </c>
      <c r="E83" s="37">
        <v>7.0000000000000007E-2</v>
      </c>
      <c r="F83" s="38">
        <v>2.3E-2</v>
      </c>
      <c r="G83" s="39">
        <v>46979</v>
      </c>
      <c r="H83" s="39">
        <v>46993</v>
      </c>
      <c r="I83" s="40">
        <v>2.9123287671232876</v>
      </c>
      <c r="J83" s="41">
        <v>100</v>
      </c>
      <c r="K83" s="42">
        <v>29.8</v>
      </c>
      <c r="L83" s="43">
        <v>0.8674496644295302</v>
      </c>
      <c r="M83" s="44">
        <v>104.3</v>
      </c>
      <c r="N83" s="45">
        <v>0.20237524177949714</v>
      </c>
      <c r="O83" s="46">
        <v>11299.999999999998</v>
      </c>
      <c r="P83" s="47">
        <v>1</v>
      </c>
      <c r="Q83" s="48">
        <v>3000</v>
      </c>
      <c r="R83" s="47">
        <v>0.41499999999999998</v>
      </c>
      <c r="S83" s="49" t="s">
        <v>27</v>
      </c>
      <c r="T83" s="50"/>
      <c r="U83" s="54"/>
      <c r="V83" s="52" t="str">
        <f t="shared" si="1"/>
        <v>寶緯一</v>
      </c>
      <c r="W83" s="53">
        <v>3.0000000000000001E-3</v>
      </c>
    </row>
    <row r="84" spans="1:23" s="5" customFormat="1" ht="21" customHeight="1" x14ac:dyDescent="0.25">
      <c r="A84" s="34" t="s">
        <v>159</v>
      </c>
      <c r="B84" s="35">
        <v>45721</v>
      </c>
      <c r="C84" s="35" t="s">
        <v>71</v>
      </c>
      <c r="D84" s="36" t="s">
        <v>69</v>
      </c>
      <c r="E84" s="37">
        <v>3.27E-2</v>
      </c>
      <c r="F84" s="38">
        <v>3.7499999999999999E-2</v>
      </c>
      <c r="G84" s="39">
        <v>46205</v>
      </c>
      <c r="H84" s="39">
        <v>46219</v>
      </c>
      <c r="I84" s="40">
        <v>0.79178082191780819</v>
      </c>
      <c r="J84" s="41">
        <v>100</v>
      </c>
      <c r="K84" s="42">
        <v>160.6</v>
      </c>
      <c r="L84" s="43">
        <v>1.0211706102117062</v>
      </c>
      <c r="M84" s="44">
        <v>113.9</v>
      </c>
      <c r="N84" s="45">
        <v>0.11538658536585368</v>
      </c>
      <c r="O84" s="46">
        <v>17170.000000000007</v>
      </c>
      <c r="P84" s="47">
        <v>1</v>
      </c>
      <c r="Q84" s="48">
        <v>5000</v>
      </c>
      <c r="R84" s="47">
        <v>0.252</v>
      </c>
      <c r="S84" s="49" t="s">
        <v>28</v>
      </c>
      <c r="T84" s="50"/>
      <c r="U84" s="54"/>
      <c r="V84" s="52" t="str">
        <f t="shared" si="1"/>
        <v>駐龍一</v>
      </c>
      <c r="W84" s="53">
        <v>3.0000000000000001E-3</v>
      </c>
    </row>
    <row r="85" spans="1:23" s="5" customFormat="1" ht="17.25" customHeight="1" x14ac:dyDescent="0.25">
      <c r="A85" s="34" t="s">
        <v>160</v>
      </c>
      <c r="B85" s="35">
        <v>47393</v>
      </c>
      <c r="C85" s="35" t="s">
        <v>161</v>
      </c>
      <c r="D85" s="36" t="s">
        <v>78</v>
      </c>
      <c r="E85" s="37">
        <v>2.7799999999999998E-2</v>
      </c>
      <c r="F85" s="38">
        <v>2.3E-2</v>
      </c>
      <c r="G85" s="39">
        <v>46309</v>
      </c>
      <c r="H85" s="39">
        <v>46323</v>
      </c>
      <c r="I85" s="40">
        <v>1.0767123287671232</v>
      </c>
      <c r="J85" s="41">
        <v>100</v>
      </c>
      <c r="K85" s="42">
        <v>98.5</v>
      </c>
      <c r="L85" s="43">
        <v>0.70558375634517778</v>
      </c>
      <c r="M85" s="44">
        <v>104.4</v>
      </c>
      <c r="N85" s="45">
        <v>0.47962589928057547</v>
      </c>
      <c r="O85" s="46">
        <v>7180.0000000000055</v>
      </c>
      <c r="P85" s="47">
        <v>0.9921428571428571</v>
      </c>
      <c r="Q85" s="48">
        <v>7000</v>
      </c>
      <c r="R85" s="47">
        <v>0.42199999999999999</v>
      </c>
      <c r="S85" s="49" t="s">
        <v>27</v>
      </c>
      <c r="T85" s="50"/>
      <c r="U85" s="54"/>
      <c r="V85" s="52" t="str">
        <f t="shared" si="1"/>
        <v>康普三</v>
      </c>
      <c r="W85" s="53">
        <v>3.0000000000000001E-3</v>
      </c>
    </row>
    <row r="86" spans="1:23" s="5" customFormat="1" ht="17.25" customHeight="1" x14ac:dyDescent="0.25">
      <c r="A86" s="34" t="s">
        <v>162</v>
      </c>
      <c r="B86" s="35">
        <v>49066</v>
      </c>
      <c r="C86" s="35" t="s">
        <v>71</v>
      </c>
      <c r="D86" s="36" t="s">
        <v>78</v>
      </c>
      <c r="E86" s="37">
        <v>2.8199999999999999E-2</v>
      </c>
      <c r="F86" s="38">
        <v>3.7499999999999999E-2</v>
      </c>
      <c r="G86" s="39">
        <v>46161</v>
      </c>
      <c r="H86" s="39">
        <v>46175</v>
      </c>
      <c r="I86" s="40">
        <v>0.67123287671232879</v>
      </c>
      <c r="J86" s="41">
        <v>100</v>
      </c>
      <c r="K86" s="42">
        <v>26.6</v>
      </c>
      <c r="L86" s="43">
        <v>0.91541353383458646</v>
      </c>
      <c r="M86" s="44">
        <v>109</v>
      </c>
      <c r="N86" s="45">
        <v>0.19071868583162224</v>
      </c>
      <c r="O86" s="46">
        <v>11820</v>
      </c>
      <c r="P86" s="47">
        <v>0.43013333333333331</v>
      </c>
      <c r="Q86" s="48">
        <v>15000</v>
      </c>
      <c r="R86" s="47">
        <v>0.437</v>
      </c>
      <c r="S86" s="49" t="s">
        <v>28</v>
      </c>
      <c r="T86" s="50"/>
      <c r="U86" s="54"/>
      <c r="V86" s="52" t="str">
        <f t="shared" si="1"/>
        <v>正文六</v>
      </c>
      <c r="W86" s="53">
        <v>3.0000000000000001E-3</v>
      </c>
    </row>
    <row r="87" spans="1:23" s="5" customFormat="1" ht="17.25" customHeight="1" x14ac:dyDescent="0.25">
      <c r="A87" s="34" t="s">
        <v>163</v>
      </c>
      <c r="B87" s="35">
        <v>49793</v>
      </c>
      <c r="C87" s="35" t="s">
        <v>71</v>
      </c>
      <c r="D87" s="36" t="s">
        <v>69</v>
      </c>
      <c r="E87" s="37">
        <v>4.0700000000000007E-2</v>
      </c>
      <c r="F87" s="38">
        <v>0.04</v>
      </c>
      <c r="G87" s="39">
        <v>46351</v>
      </c>
      <c r="H87" s="39">
        <v>46365</v>
      </c>
      <c r="I87" s="40">
        <v>1.1917808219178083</v>
      </c>
      <c r="J87" s="41">
        <v>101.0025</v>
      </c>
      <c r="K87" s="42">
        <v>176.5</v>
      </c>
      <c r="L87" s="43">
        <v>1.1983002832861189</v>
      </c>
      <c r="M87" s="44">
        <v>135.30000000000001</v>
      </c>
      <c r="N87" s="45">
        <v>0.12909929078014204</v>
      </c>
      <c r="O87" s="46">
        <v>39370.000000000007</v>
      </c>
      <c r="P87" s="47">
        <v>1</v>
      </c>
      <c r="Q87" s="48">
        <v>6000</v>
      </c>
      <c r="R87" s="47">
        <v>0.51800000000000002</v>
      </c>
      <c r="S87" s="49" t="s">
        <v>28</v>
      </c>
      <c r="T87" s="50"/>
      <c r="U87" s="54"/>
      <c r="V87" s="52" t="str">
        <f t="shared" si="1"/>
        <v>華星光三</v>
      </c>
      <c r="W87" s="53">
        <v>3.0000000000000001E-3</v>
      </c>
    </row>
    <row r="88" spans="1:23" s="5" customFormat="1" ht="17.25" customHeight="1" x14ac:dyDescent="0.25">
      <c r="A88" s="34" t="s">
        <v>164</v>
      </c>
      <c r="B88" s="35">
        <v>49794</v>
      </c>
      <c r="C88" s="35" t="s">
        <v>71</v>
      </c>
      <c r="D88" s="36" t="s">
        <v>69</v>
      </c>
      <c r="E88" s="37">
        <v>5.2500000000000005E-2</v>
      </c>
      <c r="F88" s="38">
        <v>0.04</v>
      </c>
      <c r="G88" s="39">
        <v>46367</v>
      </c>
      <c r="H88" s="39">
        <v>46381</v>
      </c>
      <c r="I88" s="40">
        <v>1.2356164383561643</v>
      </c>
      <c r="J88" s="41">
        <v>100</v>
      </c>
      <c r="K88" s="42">
        <v>204.3</v>
      </c>
      <c r="L88" s="43">
        <v>1.0352422907488987</v>
      </c>
      <c r="M88" s="44">
        <v>124.5</v>
      </c>
      <c r="N88" s="45">
        <v>0.20261702127659567</v>
      </c>
      <c r="O88" s="46">
        <v>29750</v>
      </c>
      <c r="P88" s="47">
        <v>1</v>
      </c>
      <c r="Q88" s="48">
        <v>2000</v>
      </c>
      <c r="R88" s="47">
        <v>0.51800000000000002</v>
      </c>
      <c r="S88" s="49" t="s">
        <v>28</v>
      </c>
      <c r="T88" s="50"/>
      <c r="U88" s="54"/>
      <c r="V88" s="52" t="str">
        <f t="shared" si="1"/>
        <v>華星光四</v>
      </c>
      <c r="W88" s="53">
        <v>3.0000000000000001E-3</v>
      </c>
    </row>
    <row r="89" spans="1:23" s="5" customFormat="1" ht="17.25" customHeight="1" x14ac:dyDescent="0.25">
      <c r="A89" s="34" t="s">
        <v>165</v>
      </c>
      <c r="B89" s="35">
        <v>52303</v>
      </c>
      <c r="C89" s="35" t="s">
        <v>77</v>
      </c>
      <c r="D89" s="36" t="s">
        <v>67</v>
      </c>
      <c r="E89" s="37">
        <v>2.01E-2</v>
      </c>
      <c r="F89" s="38">
        <v>2.1000000000000001E-2</v>
      </c>
      <c r="G89" s="39">
        <v>46213</v>
      </c>
      <c r="H89" s="39">
        <v>46227</v>
      </c>
      <c r="I89" s="40">
        <v>0.81369863013698629</v>
      </c>
      <c r="J89" s="41">
        <v>100</v>
      </c>
      <c r="K89" s="42">
        <v>22</v>
      </c>
      <c r="L89" s="43">
        <v>0.80909090909090908</v>
      </c>
      <c r="M89" s="44">
        <v>112</v>
      </c>
      <c r="N89" s="45">
        <v>0.38426966292134834</v>
      </c>
      <c r="O89" s="46">
        <v>14010</v>
      </c>
      <c r="P89" s="47">
        <v>0.19866666666666666</v>
      </c>
      <c r="Q89" s="48">
        <v>3000</v>
      </c>
      <c r="R89" s="47">
        <v>0.34899999999999998</v>
      </c>
      <c r="S89" s="49" t="s">
        <v>27</v>
      </c>
      <c r="T89" s="50"/>
      <c r="U89" s="54"/>
      <c r="V89" s="52" t="str">
        <f t="shared" si="1"/>
        <v>雷笛克光學三</v>
      </c>
      <c r="W89" s="53">
        <v>3.0000000000000001E-3</v>
      </c>
    </row>
    <row r="90" spans="1:23" s="5" customFormat="1" ht="17.25" customHeight="1" x14ac:dyDescent="0.25">
      <c r="A90" s="34" t="s">
        <v>166</v>
      </c>
      <c r="B90" s="35">
        <v>52635</v>
      </c>
      <c r="C90" s="35" t="s">
        <v>167</v>
      </c>
      <c r="D90" s="36" t="s">
        <v>67</v>
      </c>
      <c r="E90" s="37">
        <v>1.04E-2</v>
      </c>
      <c r="F90" s="38">
        <v>2.1999999999999999E-2</v>
      </c>
      <c r="G90" s="39">
        <v>46071</v>
      </c>
      <c r="H90" s="39">
        <v>46085</v>
      </c>
      <c r="I90" s="40">
        <v>0.42465753424657532</v>
      </c>
      <c r="J90" s="41">
        <v>100.20010000000001</v>
      </c>
      <c r="K90" s="42">
        <v>110.6</v>
      </c>
      <c r="L90" s="43">
        <v>0.79204339963833637</v>
      </c>
      <c r="M90" s="44">
        <v>104.85</v>
      </c>
      <c r="N90" s="45">
        <v>0.32379109589041094</v>
      </c>
      <c r="O90" s="46">
        <v>5889.9999999999945</v>
      </c>
      <c r="P90" s="47">
        <v>0.50462499999999999</v>
      </c>
      <c r="Q90" s="48">
        <v>8000</v>
      </c>
      <c r="R90" s="47">
        <v>0.218</v>
      </c>
      <c r="S90" s="49" t="s">
        <v>27</v>
      </c>
      <c r="T90" s="50"/>
      <c r="U90" s="54"/>
      <c r="V90" s="52" t="str">
        <f t="shared" si="1"/>
        <v>智崴五</v>
      </c>
      <c r="W90" s="53">
        <v>3.0000000000000001E-3</v>
      </c>
    </row>
    <row r="91" spans="1:23" s="5" customFormat="1" ht="17.25" customHeight="1" x14ac:dyDescent="0.25">
      <c r="A91" s="34" t="s">
        <v>168</v>
      </c>
      <c r="B91" s="35">
        <v>53064</v>
      </c>
      <c r="C91" s="35" t="s">
        <v>169</v>
      </c>
      <c r="D91" s="36" t="s">
        <v>73</v>
      </c>
      <c r="E91" s="37">
        <v>2.8499999999999998E-2</v>
      </c>
      <c r="F91" s="38">
        <v>2.3E-2</v>
      </c>
      <c r="G91" s="39">
        <v>46321</v>
      </c>
      <c r="H91" s="39">
        <v>46334</v>
      </c>
      <c r="I91" s="40">
        <v>1.106849315068493</v>
      </c>
      <c r="J91" s="41">
        <v>100</v>
      </c>
      <c r="K91" s="42">
        <v>122.5</v>
      </c>
      <c r="L91" s="43">
        <v>0.70612244897959187</v>
      </c>
      <c r="M91" s="44">
        <v>101.9</v>
      </c>
      <c r="N91" s="45">
        <v>0.44309248554913294</v>
      </c>
      <c r="O91" s="46">
        <v>4750.0000000000055</v>
      </c>
      <c r="P91" s="47">
        <v>0.99990000000000001</v>
      </c>
      <c r="Q91" s="48">
        <v>10000</v>
      </c>
      <c r="R91" s="47">
        <v>0.25600000000000001</v>
      </c>
      <c r="S91" s="49" t="s">
        <v>27</v>
      </c>
      <c r="T91" s="50"/>
      <c r="U91" s="54"/>
      <c r="V91" s="52" t="str">
        <f t="shared" si="1"/>
        <v>桂盟四</v>
      </c>
      <c r="W91" s="53">
        <v>3.0000000000000001E-3</v>
      </c>
    </row>
    <row r="92" spans="1:23" s="5" customFormat="1" ht="17.25" customHeight="1" x14ac:dyDescent="0.25">
      <c r="A92" s="34" t="s">
        <v>170</v>
      </c>
      <c r="B92" s="35">
        <v>53887</v>
      </c>
      <c r="C92" s="35" t="s">
        <v>71</v>
      </c>
      <c r="D92" s="36" t="s">
        <v>73</v>
      </c>
      <c r="E92" s="37">
        <v>3.5000000000000003E-2</v>
      </c>
      <c r="F92" s="38">
        <v>2.7E-2</v>
      </c>
      <c r="G92" s="39">
        <v>46349</v>
      </c>
      <c r="H92" s="39">
        <v>46362</v>
      </c>
      <c r="I92" s="40">
        <v>1.1835616438356165</v>
      </c>
      <c r="J92" s="41">
        <v>100</v>
      </c>
      <c r="K92" s="42">
        <v>134.6</v>
      </c>
      <c r="L92" s="43">
        <v>0.74294205052005946</v>
      </c>
      <c r="M92" s="44">
        <v>107.9</v>
      </c>
      <c r="N92" s="45">
        <v>0.45233399999999996</v>
      </c>
      <c r="O92" s="46">
        <v>11400.000000000005</v>
      </c>
      <c r="P92" s="47">
        <v>1</v>
      </c>
      <c r="Q92" s="48">
        <v>30000</v>
      </c>
      <c r="R92" s="47">
        <v>0.249</v>
      </c>
      <c r="S92" s="49" t="s">
        <v>28</v>
      </c>
      <c r="T92" s="50"/>
      <c r="U92" s="54"/>
      <c r="V92" s="52" t="str">
        <f t="shared" ref="V92:V127" si="2">A92</f>
        <v>中磊七</v>
      </c>
      <c r="W92" s="53">
        <v>3.0000000000000001E-3</v>
      </c>
    </row>
    <row r="93" spans="1:23" s="5" customFormat="1" ht="17.100000000000001" customHeight="1" x14ac:dyDescent="0.25">
      <c r="A93" s="34" t="s">
        <v>171</v>
      </c>
      <c r="B93" s="35">
        <v>54342</v>
      </c>
      <c r="C93" s="35" t="s">
        <v>71</v>
      </c>
      <c r="D93" s="36" t="s">
        <v>88</v>
      </c>
      <c r="E93" s="37">
        <v>2.3199999999999998E-2</v>
      </c>
      <c r="F93" s="38">
        <v>2.7E-2</v>
      </c>
      <c r="G93" s="39">
        <v>46188</v>
      </c>
      <c r="H93" s="39">
        <v>46202</v>
      </c>
      <c r="I93" s="40">
        <v>0.74520547945205484</v>
      </c>
      <c r="J93" s="41">
        <v>100</v>
      </c>
      <c r="K93" s="42">
        <v>184.1</v>
      </c>
      <c r="L93" s="43">
        <v>1.7164584464964694</v>
      </c>
      <c r="M93" s="44">
        <v>171</v>
      </c>
      <c r="N93" s="45">
        <v>-3.7626582278481075E-3</v>
      </c>
      <c r="O93" s="46">
        <v>73320</v>
      </c>
      <c r="P93" s="47">
        <v>0.34200000000000003</v>
      </c>
      <c r="Q93" s="48">
        <v>10000</v>
      </c>
      <c r="R93" s="47">
        <v>0.23200000000000001</v>
      </c>
      <c r="S93" s="49" t="s">
        <v>27</v>
      </c>
      <c r="T93" s="50"/>
      <c r="U93" s="54"/>
      <c r="V93" s="52" t="str">
        <f t="shared" si="2"/>
        <v>崇越二</v>
      </c>
      <c r="W93" s="53">
        <v>3.0000000000000001E-3</v>
      </c>
    </row>
    <row r="94" spans="1:23" s="5" customFormat="1" ht="17.100000000000001" customHeight="1" x14ac:dyDescent="0.25">
      <c r="A94" s="34" t="s">
        <v>172</v>
      </c>
      <c r="B94" s="35">
        <v>54391</v>
      </c>
      <c r="C94" s="35" t="s">
        <v>71</v>
      </c>
      <c r="D94" s="36" t="s">
        <v>78</v>
      </c>
      <c r="E94" s="37">
        <v>9.1400000000000009E-2</v>
      </c>
      <c r="F94" s="38">
        <v>0.03</v>
      </c>
      <c r="G94" s="39">
        <v>46993</v>
      </c>
      <c r="H94" s="39">
        <v>47005</v>
      </c>
      <c r="I94" s="40">
        <v>2.9452054794520546</v>
      </c>
      <c r="J94" s="41">
        <v>100</v>
      </c>
      <c r="K94" s="42">
        <v>300</v>
      </c>
      <c r="L94" s="43">
        <v>1.0166666666666666</v>
      </c>
      <c r="M94" s="44">
        <v>125.85</v>
      </c>
      <c r="N94" s="45">
        <v>0.23786885245901646</v>
      </c>
      <c r="O94" s="46">
        <v>34990</v>
      </c>
      <c r="P94" s="47">
        <v>1</v>
      </c>
      <c r="Q94" s="48">
        <v>20000</v>
      </c>
      <c r="R94" s="47">
        <v>0.73699999999999999</v>
      </c>
      <c r="S94" s="49" t="s">
        <v>28</v>
      </c>
      <c r="T94" s="50"/>
      <c r="U94" s="54"/>
      <c r="V94" s="52" t="str">
        <f t="shared" si="2"/>
        <v>高技一</v>
      </c>
      <c r="W94" s="53">
        <v>3.0000000000000001E-3</v>
      </c>
    </row>
    <row r="95" spans="1:23" s="5" customFormat="1" ht="17.100000000000001" customHeight="1" x14ac:dyDescent="0.25">
      <c r="A95" s="34" t="s">
        <v>173</v>
      </c>
      <c r="B95" s="35">
        <v>54501</v>
      </c>
      <c r="C95" s="35" t="s">
        <v>121</v>
      </c>
      <c r="D95" s="36" t="s">
        <v>67</v>
      </c>
      <c r="E95" s="37">
        <v>5.8999999999999999E-3</v>
      </c>
      <c r="F95" s="38">
        <v>2.1999999999999999E-2</v>
      </c>
      <c r="G95" s="39">
        <v>46090</v>
      </c>
      <c r="H95" s="39">
        <v>46102</v>
      </c>
      <c r="I95" s="40">
        <v>0.47123287671232877</v>
      </c>
      <c r="J95" s="41">
        <v>100.75</v>
      </c>
      <c r="K95" s="42">
        <v>17.399999999999999</v>
      </c>
      <c r="L95" s="43">
        <v>0.81609195402298851</v>
      </c>
      <c r="M95" s="44">
        <v>107</v>
      </c>
      <c r="N95" s="45">
        <v>0.31112676056338029</v>
      </c>
      <c r="O95" s="46">
        <v>7590.0000000000009</v>
      </c>
      <c r="P95" s="47">
        <v>0.99960000000000004</v>
      </c>
      <c r="Q95" s="48">
        <v>5000</v>
      </c>
      <c r="R95" s="47">
        <v>0.23599999999999999</v>
      </c>
      <c r="S95" s="49" t="s">
        <v>27</v>
      </c>
      <c r="T95" s="50"/>
      <c r="U95" s="54"/>
      <c r="V95" s="52" t="str">
        <f t="shared" si="2"/>
        <v>南良一</v>
      </c>
      <c r="W95" s="53">
        <v>3.0000000000000001E-3</v>
      </c>
    </row>
    <row r="96" spans="1:23" s="5" customFormat="1" ht="17.100000000000001" customHeight="1" x14ac:dyDescent="0.25">
      <c r="A96" s="34" t="s">
        <v>174</v>
      </c>
      <c r="B96" s="35">
        <v>56086</v>
      </c>
      <c r="C96" s="35" t="s">
        <v>175</v>
      </c>
      <c r="D96" s="36" t="s">
        <v>61</v>
      </c>
      <c r="E96" s="37">
        <v>1.9699999999999999E-2</v>
      </c>
      <c r="F96" s="38">
        <v>2.3E-2</v>
      </c>
      <c r="G96" s="39">
        <v>46181</v>
      </c>
      <c r="H96" s="39">
        <v>46194</v>
      </c>
      <c r="I96" s="40">
        <v>0.72328767123287674</v>
      </c>
      <c r="J96" s="41">
        <v>100</v>
      </c>
      <c r="K96" s="42">
        <v>22.1</v>
      </c>
      <c r="L96" s="43">
        <v>0.77601809954751122</v>
      </c>
      <c r="M96" s="44">
        <v>106.4</v>
      </c>
      <c r="N96" s="45">
        <v>0.37110204081632681</v>
      </c>
      <c r="O96" s="46">
        <v>8370.0000000000055</v>
      </c>
      <c r="P96" s="47">
        <v>0.99980000000000002</v>
      </c>
      <c r="Q96" s="48">
        <v>5000</v>
      </c>
      <c r="R96" s="47">
        <v>0.38200000000000001</v>
      </c>
      <c r="S96" s="49" t="s">
        <v>27</v>
      </c>
      <c r="T96" s="50"/>
      <c r="U96" s="54"/>
      <c r="V96" s="52" t="str">
        <f t="shared" si="2"/>
        <v>四維航六</v>
      </c>
      <c r="W96" s="53">
        <v>3.0000000000000001E-3</v>
      </c>
    </row>
    <row r="97" spans="1:23" s="5" customFormat="1" ht="18" customHeight="1" x14ac:dyDescent="0.25">
      <c r="A97" s="34" t="s">
        <v>176</v>
      </c>
      <c r="B97" s="35">
        <v>56087</v>
      </c>
      <c r="C97" s="35" t="s">
        <v>147</v>
      </c>
      <c r="D97" s="36" t="s">
        <v>61</v>
      </c>
      <c r="E97" s="37">
        <v>5.4000000000000006E-2</v>
      </c>
      <c r="F97" s="38">
        <v>2.3E-2</v>
      </c>
      <c r="G97" s="39">
        <v>46724</v>
      </c>
      <c r="H97" s="39">
        <v>46738</v>
      </c>
      <c r="I97" s="40">
        <v>2.2136986301369861</v>
      </c>
      <c r="J97" s="41">
        <v>100</v>
      </c>
      <c r="K97" s="42">
        <v>19.3</v>
      </c>
      <c r="L97" s="43">
        <v>0.88860103626942999</v>
      </c>
      <c r="M97" s="44">
        <v>109.45</v>
      </c>
      <c r="N97" s="45">
        <v>0.23171137026239075</v>
      </c>
      <c r="O97" s="46">
        <v>14850.000000000002</v>
      </c>
      <c r="P97" s="47">
        <v>1</v>
      </c>
      <c r="Q97" s="48">
        <v>6000</v>
      </c>
      <c r="R97" s="47">
        <v>0.38200000000000001</v>
      </c>
      <c r="S97" s="49" t="s">
        <v>27</v>
      </c>
      <c r="T97" s="50"/>
      <c r="U97" s="54"/>
      <c r="V97" s="52" t="str">
        <f t="shared" si="2"/>
        <v>四維航七</v>
      </c>
      <c r="W97" s="53">
        <v>3.0000000000000001E-3</v>
      </c>
    </row>
    <row r="98" spans="1:23" s="5" customFormat="1" ht="18" customHeight="1" x14ac:dyDescent="0.25">
      <c r="A98" s="34" t="s">
        <v>177</v>
      </c>
      <c r="B98" s="35">
        <v>59055</v>
      </c>
      <c r="C98" s="35" t="s">
        <v>178</v>
      </c>
      <c r="D98" s="36" t="s">
        <v>67</v>
      </c>
      <c r="E98" s="37">
        <v>1.6899999999999998E-2</v>
      </c>
      <c r="F98" s="38">
        <v>2.1999999999999999E-2</v>
      </c>
      <c r="G98" s="39">
        <v>46146</v>
      </c>
      <c r="H98" s="39">
        <v>46160</v>
      </c>
      <c r="I98" s="40">
        <v>0.63013698630136983</v>
      </c>
      <c r="J98" s="41">
        <v>100</v>
      </c>
      <c r="K98" s="42">
        <v>12.62</v>
      </c>
      <c r="L98" s="43">
        <v>0.86370839936608557</v>
      </c>
      <c r="M98" s="44">
        <v>111.95</v>
      </c>
      <c r="N98" s="45">
        <v>0.29615504587155961</v>
      </c>
      <c r="O98" s="46">
        <v>13640.000000000002</v>
      </c>
      <c r="P98" s="47">
        <v>0.33100000000000002</v>
      </c>
      <c r="Q98" s="48">
        <v>6000</v>
      </c>
      <c r="R98" s="47">
        <v>0.27300000000000002</v>
      </c>
      <c r="S98" s="49" t="s">
        <v>27</v>
      </c>
      <c r="T98" s="50" t="s">
        <v>3</v>
      </c>
      <c r="U98" s="54"/>
      <c r="V98" s="52" t="str">
        <f t="shared" si="2"/>
        <v>南仁湖四</v>
      </c>
      <c r="W98" s="53">
        <v>3.0000000000000001E-3</v>
      </c>
    </row>
    <row r="99" spans="1:23" s="5" customFormat="1" ht="18" customHeight="1" x14ac:dyDescent="0.25">
      <c r="A99" s="34" t="s">
        <v>179</v>
      </c>
      <c r="B99" s="35">
        <v>61041</v>
      </c>
      <c r="C99" s="35" t="s">
        <v>71</v>
      </c>
      <c r="D99" s="36" t="s">
        <v>78</v>
      </c>
      <c r="E99" s="37">
        <v>6.9700000000000012E-2</v>
      </c>
      <c r="F99" s="38">
        <v>3.5000000000000003E-2</v>
      </c>
      <c r="G99" s="39">
        <v>46611</v>
      </c>
      <c r="H99" s="55">
        <v>46625</v>
      </c>
      <c r="I99" s="40">
        <v>1.904109589041096</v>
      </c>
      <c r="J99" s="41">
        <v>100</v>
      </c>
      <c r="K99" s="42">
        <v>124.8</v>
      </c>
      <c r="L99" s="43">
        <v>0.91346153846153844</v>
      </c>
      <c r="M99" s="44">
        <v>118.9</v>
      </c>
      <c r="N99" s="45">
        <v>0.30164210526315804</v>
      </c>
      <c r="O99" s="46">
        <v>25870.000000000004</v>
      </c>
      <c r="P99" s="47">
        <v>0.87360000000000004</v>
      </c>
      <c r="Q99" s="48">
        <v>5000</v>
      </c>
      <c r="R99" s="47">
        <v>0.40699999999999997</v>
      </c>
      <c r="S99" s="49" t="s">
        <v>28</v>
      </c>
      <c r="T99" s="50" t="s">
        <v>29</v>
      </c>
      <c r="U99" s="54"/>
      <c r="V99" s="52" t="str">
        <f t="shared" si="2"/>
        <v>創惟一</v>
      </c>
      <c r="W99" s="53">
        <v>3.0000000000000001E-3</v>
      </c>
    </row>
    <row r="100" spans="1:23" s="5" customFormat="1" ht="18" customHeight="1" x14ac:dyDescent="0.25">
      <c r="A100" s="34" t="s">
        <v>180</v>
      </c>
      <c r="B100" s="35">
        <v>61565</v>
      </c>
      <c r="C100" s="35" t="s">
        <v>71</v>
      </c>
      <c r="D100" s="36" t="s">
        <v>69</v>
      </c>
      <c r="E100" s="37">
        <v>7.6800000000000007E-2</v>
      </c>
      <c r="F100" s="38">
        <v>4.2500000000000003E-2</v>
      </c>
      <c r="G100" s="39">
        <v>46549</v>
      </c>
      <c r="H100" s="39">
        <v>46563</v>
      </c>
      <c r="I100" s="40">
        <v>1.7342465753424658</v>
      </c>
      <c r="J100" s="41">
        <v>100</v>
      </c>
      <c r="K100" s="42">
        <v>29</v>
      </c>
      <c r="L100" s="43">
        <v>0.75862068965517238</v>
      </c>
      <c r="M100" s="44">
        <v>103</v>
      </c>
      <c r="N100" s="45">
        <v>0.35772727272727278</v>
      </c>
      <c r="O100" s="46">
        <v>10680</v>
      </c>
      <c r="P100" s="47">
        <v>1</v>
      </c>
      <c r="Q100" s="48">
        <v>3500</v>
      </c>
      <c r="R100" s="47">
        <v>0.24299999999999999</v>
      </c>
      <c r="S100" s="49" t="s">
        <v>28</v>
      </c>
      <c r="T100" s="50"/>
      <c r="U100" s="54"/>
      <c r="V100" s="52" t="str">
        <f t="shared" si="2"/>
        <v>松上五</v>
      </c>
      <c r="W100" s="53">
        <v>3.0000000000000001E-3</v>
      </c>
    </row>
    <row r="101" spans="1:23" s="5" customFormat="1" ht="18" customHeight="1" x14ac:dyDescent="0.25">
      <c r="A101" s="34" t="s">
        <v>181</v>
      </c>
      <c r="B101" s="35">
        <v>61777</v>
      </c>
      <c r="C101" s="35" t="s">
        <v>71</v>
      </c>
      <c r="D101" s="36" t="s">
        <v>67</v>
      </c>
      <c r="E101" s="37">
        <v>6.9700000000000012E-2</v>
      </c>
      <c r="F101" s="38">
        <v>0.05</v>
      </c>
      <c r="G101" s="39">
        <v>46549</v>
      </c>
      <c r="H101" s="39">
        <v>46563</v>
      </c>
      <c r="I101" s="40">
        <v>1.7342465753424658</v>
      </c>
      <c r="J101" s="41">
        <v>102.01</v>
      </c>
      <c r="K101" s="42">
        <v>46.1</v>
      </c>
      <c r="L101" s="43">
        <v>1.0629067245119306</v>
      </c>
      <c r="M101" s="44">
        <v>117</v>
      </c>
      <c r="N101" s="45">
        <v>0.10075510204081631</v>
      </c>
      <c r="O101" s="46">
        <v>23970.000000000004</v>
      </c>
      <c r="P101" s="47">
        <v>1</v>
      </c>
      <c r="Q101" s="48">
        <v>6000</v>
      </c>
      <c r="R101" s="47">
        <v>0.441</v>
      </c>
      <c r="S101" s="49" t="s">
        <v>28</v>
      </c>
      <c r="T101" s="50"/>
      <c r="U101" s="54"/>
      <c r="V101" s="52" t="str">
        <f t="shared" si="2"/>
        <v>達麗七</v>
      </c>
      <c r="W101" s="53">
        <v>3.0000000000000001E-3</v>
      </c>
    </row>
    <row r="102" spans="1:23" s="5" customFormat="1" ht="18" customHeight="1" x14ac:dyDescent="0.25">
      <c r="A102" s="34" t="s">
        <v>182</v>
      </c>
      <c r="B102" s="35">
        <v>61843</v>
      </c>
      <c r="C102" s="35" t="s">
        <v>71</v>
      </c>
      <c r="D102" s="36" t="s">
        <v>69</v>
      </c>
      <c r="E102" s="37">
        <v>3.8000000000000006E-2</v>
      </c>
      <c r="F102" s="38">
        <v>3.5000000000000003E-2</v>
      </c>
      <c r="G102" s="39">
        <v>46440</v>
      </c>
      <c r="H102" s="39">
        <v>46452</v>
      </c>
      <c r="I102" s="40">
        <v>1.4301369863013698</v>
      </c>
      <c r="J102" s="41">
        <v>101.50749999999999</v>
      </c>
      <c r="K102" s="42">
        <v>49.4</v>
      </c>
      <c r="L102" s="43">
        <v>1.0111336032388665</v>
      </c>
      <c r="M102" s="44">
        <v>102.5</v>
      </c>
      <c r="N102" s="45">
        <v>1.3713713713713582E-2</v>
      </c>
      <c r="O102" s="46">
        <v>6300</v>
      </c>
      <c r="P102" s="47">
        <v>0.871</v>
      </c>
      <c r="Q102" s="48">
        <v>15000</v>
      </c>
      <c r="R102" s="47">
        <v>0.39600000000000002</v>
      </c>
      <c r="S102" s="49" t="s">
        <v>28</v>
      </c>
      <c r="T102" s="50"/>
      <c r="U102" s="54"/>
      <c r="V102" s="52" t="str">
        <f t="shared" si="2"/>
        <v>大豐電三</v>
      </c>
      <c r="W102" s="53">
        <v>3.0000000000000001E-3</v>
      </c>
    </row>
    <row r="103" spans="1:23" s="5" customFormat="1" ht="18" customHeight="1" x14ac:dyDescent="0.25">
      <c r="A103" s="34" t="s">
        <v>183</v>
      </c>
      <c r="B103" s="35">
        <v>61875</v>
      </c>
      <c r="C103" s="35" t="s">
        <v>71</v>
      </c>
      <c r="D103" s="36" t="s">
        <v>78</v>
      </c>
      <c r="E103" s="37">
        <v>5.2800000000000007E-2</v>
      </c>
      <c r="F103" s="38">
        <v>2.8000000000000001E-2</v>
      </c>
      <c r="G103" s="39">
        <v>46566</v>
      </c>
      <c r="H103" s="39">
        <v>46578</v>
      </c>
      <c r="I103" s="40">
        <v>1.7753424657534247</v>
      </c>
      <c r="J103" s="41">
        <v>100</v>
      </c>
      <c r="K103" s="42">
        <v>276.8</v>
      </c>
      <c r="L103" s="43">
        <v>1.3565751445086704</v>
      </c>
      <c r="M103" s="44">
        <v>137</v>
      </c>
      <c r="N103" s="45">
        <v>9.8961384820240531E-3</v>
      </c>
      <c r="O103" s="46">
        <v>42280</v>
      </c>
      <c r="P103" s="47">
        <v>0.45379999999999998</v>
      </c>
      <c r="Q103" s="48">
        <v>5000</v>
      </c>
      <c r="R103" s="47">
        <v>0.44700000000000001</v>
      </c>
      <c r="S103" s="49" t="s">
        <v>28</v>
      </c>
      <c r="T103" s="50"/>
      <c r="U103" s="54"/>
      <c r="V103" s="52" t="str">
        <f t="shared" si="2"/>
        <v>萬潤五</v>
      </c>
      <c r="W103" s="53">
        <v>3.0000000000000001E-3</v>
      </c>
    </row>
    <row r="104" spans="1:23" s="5" customFormat="1" ht="17.100000000000001" customHeight="1" x14ac:dyDescent="0.25">
      <c r="A104" s="34" t="s">
        <v>184</v>
      </c>
      <c r="B104" s="35">
        <v>61894</v>
      </c>
      <c r="C104" s="35" t="s">
        <v>71</v>
      </c>
      <c r="D104" s="36" t="s">
        <v>73</v>
      </c>
      <c r="E104" s="37">
        <v>2.5599999999999998E-2</v>
      </c>
      <c r="F104" s="38">
        <v>2.7E-2</v>
      </c>
      <c r="G104" s="39">
        <v>46322</v>
      </c>
      <c r="H104" s="39">
        <v>46336</v>
      </c>
      <c r="I104" s="40">
        <v>1.1123287671232878</v>
      </c>
      <c r="J104" s="41">
        <v>100.75190000000001</v>
      </c>
      <c r="K104" s="42">
        <v>43.14</v>
      </c>
      <c r="L104" s="43">
        <v>1.1404728789986092</v>
      </c>
      <c r="M104" s="44">
        <v>121</v>
      </c>
      <c r="N104" s="45">
        <v>6.0963414634146333E-2</v>
      </c>
      <c r="O104" s="46">
        <v>23559.999999999996</v>
      </c>
      <c r="P104" s="47">
        <v>0.24959999999999999</v>
      </c>
      <c r="Q104" s="48">
        <v>5000</v>
      </c>
      <c r="R104" s="47">
        <v>0.23400000000000001</v>
      </c>
      <c r="S104" s="49" t="s">
        <v>27</v>
      </c>
      <c r="T104" s="50"/>
      <c r="U104" s="54"/>
      <c r="V104" s="52" t="str">
        <f t="shared" si="2"/>
        <v>豐藝四</v>
      </c>
      <c r="W104" s="53">
        <v>3.0000000000000001E-3</v>
      </c>
    </row>
    <row r="105" spans="1:23" s="5" customFormat="1" ht="17.100000000000001" customHeight="1" x14ac:dyDescent="0.25">
      <c r="A105" s="34" t="s">
        <v>185</v>
      </c>
      <c r="B105" s="35">
        <v>61906</v>
      </c>
      <c r="C105" s="35" t="s">
        <v>71</v>
      </c>
      <c r="D105" s="36" t="s">
        <v>69</v>
      </c>
      <c r="E105" s="37">
        <v>6.1999999999999998E-3</v>
      </c>
      <c r="F105" s="38">
        <v>3.7499999999999999E-2</v>
      </c>
      <c r="G105" s="39">
        <v>45947</v>
      </c>
      <c r="H105" s="39">
        <v>45961</v>
      </c>
      <c r="I105" s="40">
        <v>8.4931506849315067E-2</v>
      </c>
      <c r="J105" s="41">
        <v>100</v>
      </c>
      <c r="K105" s="42">
        <v>31.5</v>
      </c>
      <c r="L105" s="43">
        <v>1.265079365079365</v>
      </c>
      <c r="M105" s="44">
        <v>132</v>
      </c>
      <c r="N105" s="45">
        <v>4.3412797992471781E-2</v>
      </c>
      <c r="O105" s="46">
        <v>32620</v>
      </c>
      <c r="P105" s="47">
        <v>4.6875E-2</v>
      </c>
      <c r="Q105" s="48">
        <v>8000</v>
      </c>
      <c r="R105" s="47">
        <v>0.48199999999999998</v>
      </c>
      <c r="S105" s="49" t="s">
        <v>28</v>
      </c>
      <c r="T105" s="50"/>
      <c r="U105" s="54"/>
      <c r="V105" s="52" t="str">
        <f t="shared" si="2"/>
        <v>萬泰科六</v>
      </c>
      <c r="W105" s="53">
        <v>3.0000000000000001E-3</v>
      </c>
    </row>
    <row r="106" spans="1:23" s="5" customFormat="1" ht="17.100000000000001" customHeight="1" x14ac:dyDescent="0.25">
      <c r="A106" s="34" t="s">
        <v>186</v>
      </c>
      <c r="B106" s="35">
        <v>61965</v>
      </c>
      <c r="C106" s="35" t="s">
        <v>71</v>
      </c>
      <c r="D106" s="36" t="s">
        <v>73</v>
      </c>
      <c r="E106" s="37">
        <v>2.2299999999999997E-2</v>
      </c>
      <c r="F106" s="38">
        <v>2.5999999999999999E-2</v>
      </c>
      <c r="G106" s="39">
        <v>46188</v>
      </c>
      <c r="H106" s="39">
        <v>46200</v>
      </c>
      <c r="I106" s="40">
        <v>0.73972602739726023</v>
      </c>
      <c r="J106" s="41">
        <v>100</v>
      </c>
      <c r="K106" s="42">
        <v>130.69999999999999</v>
      </c>
      <c r="L106" s="43">
        <v>1.8477429227237951</v>
      </c>
      <c r="M106" s="44">
        <v>186</v>
      </c>
      <c r="N106" s="45">
        <v>6.6335403726707157E-3</v>
      </c>
      <c r="O106" s="46">
        <v>88230</v>
      </c>
      <c r="P106" s="47">
        <v>0.12995999999999999</v>
      </c>
      <c r="Q106" s="48">
        <v>25000</v>
      </c>
      <c r="R106" s="47">
        <v>0.41399999999999998</v>
      </c>
      <c r="S106" s="49" t="s">
        <v>28</v>
      </c>
      <c r="T106" s="50"/>
      <c r="U106" s="54"/>
      <c r="V106" s="52" t="str">
        <f t="shared" si="2"/>
        <v>帆宣五</v>
      </c>
      <c r="W106" s="53">
        <v>3.0000000000000001E-3</v>
      </c>
    </row>
    <row r="107" spans="1:23" s="5" customFormat="1" ht="17.100000000000001" customHeight="1" x14ac:dyDescent="0.25">
      <c r="A107" s="34" t="s">
        <v>187</v>
      </c>
      <c r="B107" s="35">
        <v>61973</v>
      </c>
      <c r="C107" s="35" t="s">
        <v>71</v>
      </c>
      <c r="D107" s="36" t="s">
        <v>78</v>
      </c>
      <c r="E107" s="37">
        <v>6.6300000000000012E-2</v>
      </c>
      <c r="F107" s="38">
        <v>3.1E-2</v>
      </c>
      <c r="G107" s="39">
        <v>46661</v>
      </c>
      <c r="H107" s="39">
        <v>46675</v>
      </c>
      <c r="I107" s="40">
        <v>2.0410958904109591</v>
      </c>
      <c r="J107" s="41">
        <v>100</v>
      </c>
      <c r="K107" s="42">
        <v>152</v>
      </c>
      <c r="L107" s="43">
        <v>1.013157894736842</v>
      </c>
      <c r="M107" s="44">
        <v>121</v>
      </c>
      <c r="N107" s="45">
        <v>0.19428571428571434</v>
      </c>
      <c r="O107" s="46">
        <v>27630</v>
      </c>
      <c r="P107" s="47">
        <v>1</v>
      </c>
      <c r="Q107" s="48">
        <v>10000</v>
      </c>
      <c r="R107" s="47">
        <v>0.33800000000000002</v>
      </c>
      <c r="S107" s="49" t="s">
        <v>28</v>
      </c>
      <c r="T107" s="50"/>
      <c r="U107" s="54"/>
      <c r="V107" s="52" t="str">
        <f t="shared" si="2"/>
        <v>佳必琪三</v>
      </c>
      <c r="W107" s="53">
        <v>3.0000000000000001E-3</v>
      </c>
    </row>
    <row r="108" spans="1:23" s="5" customFormat="1" ht="17.100000000000001" customHeight="1" x14ac:dyDescent="0.25">
      <c r="A108" s="34" t="s">
        <v>188</v>
      </c>
      <c r="B108" s="35">
        <v>62235</v>
      </c>
      <c r="C108" s="35" t="s">
        <v>71</v>
      </c>
      <c r="D108" s="36" t="s">
        <v>73</v>
      </c>
      <c r="E108" s="37">
        <v>6.4399999999999999E-2</v>
      </c>
      <c r="F108" s="38">
        <v>2.7E-2</v>
      </c>
      <c r="G108" s="39">
        <v>46748</v>
      </c>
      <c r="H108" s="39">
        <v>46760</v>
      </c>
      <c r="I108" s="40">
        <v>2.2739726027397262</v>
      </c>
      <c r="J108" s="41">
        <v>100</v>
      </c>
      <c r="K108" s="42">
        <v>913.4</v>
      </c>
      <c r="L108" s="43">
        <v>1.8173855922925335</v>
      </c>
      <c r="M108" s="44">
        <v>181</v>
      </c>
      <c r="N108" s="45">
        <v>-4.0638554216868312E-3</v>
      </c>
      <c r="O108" s="46">
        <v>87440</v>
      </c>
      <c r="P108" s="47">
        <v>0.90371428571428569</v>
      </c>
      <c r="Q108" s="48">
        <v>35000</v>
      </c>
      <c r="R108" s="47">
        <v>0.67100000000000004</v>
      </c>
      <c r="S108" s="49" t="s">
        <v>28</v>
      </c>
      <c r="T108" s="50"/>
      <c r="U108" s="54"/>
      <c r="V108" s="52" t="str">
        <f t="shared" si="2"/>
        <v>旺矽五</v>
      </c>
      <c r="W108" s="53">
        <v>3.0000000000000001E-3</v>
      </c>
    </row>
    <row r="109" spans="1:23" s="5" customFormat="1" ht="17.100000000000001" customHeight="1" x14ac:dyDescent="0.25">
      <c r="A109" s="34" t="s">
        <v>189</v>
      </c>
      <c r="B109" s="35">
        <v>62695</v>
      </c>
      <c r="C109" s="35" t="s">
        <v>71</v>
      </c>
      <c r="D109" s="36" t="s">
        <v>73</v>
      </c>
      <c r="E109" s="37">
        <v>6.7400000000000002E-2</v>
      </c>
      <c r="F109" s="38">
        <v>3.5000000000000003E-2</v>
      </c>
      <c r="G109" s="39">
        <v>46587</v>
      </c>
      <c r="H109" s="39">
        <v>46601</v>
      </c>
      <c r="I109" s="40">
        <v>1.8383561643835618</v>
      </c>
      <c r="J109" s="41">
        <v>100</v>
      </c>
      <c r="K109" s="42">
        <v>93</v>
      </c>
      <c r="L109" s="43">
        <v>0.66559139784946231</v>
      </c>
      <c r="M109" s="44">
        <v>105.45</v>
      </c>
      <c r="N109" s="45">
        <v>0.58430533117932182</v>
      </c>
      <c r="O109" s="46">
        <v>12190.000000000004</v>
      </c>
      <c r="P109" s="47">
        <v>1</v>
      </c>
      <c r="Q109" s="48">
        <v>20000</v>
      </c>
      <c r="R109" s="47">
        <v>0.33900000000000002</v>
      </c>
      <c r="S109" s="49" t="s">
        <v>27</v>
      </c>
      <c r="T109" s="50"/>
      <c r="U109" s="54"/>
      <c r="V109" s="52" t="str">
        <f t="shared" si="2"/>
        <v>台郡五</v>
      </c>
      <c r="W109" s="53">
        <v>3.0000000000000001E-3</v>
      </c>
    </row>
    <row r="110" spans="1:23" s="5" customFormat="1" ht="17.100000000000001" customHeight="1" x14ac:dyDescent="0.25">
      <c r="A110" s="34" t="s">
        <v>190</v>
      </c>
      <c r="B110" s="35">
        <v>62696</v>
      </c>
      <c r="C110" s="35" t="s">
        <v>71</v>
      </c>
      <c r="D110" s="36" t="s">
        <v>73</v>
      </c>
      <c r="E110" s="37">
        <v>6.7400000000000002E-2</v>
      </c>
      <c r="F110" s="38">
        <v>3.5000000000000003E-2</v>
      </c>
      <c r="G110" s="39">
        <v>46587</v>
      </c>
      <c r="H110" s="39">
        <v>46601</v>
      </c>
      <c r="I110" s="40">
        <v>1.8383561643835618</v>
      </c>
      <c r="J110" s="41">
        <v>100</v>
      </c>
      <c r="K110" s="42">
        <v>101</v>
      </c>
      <c r="L110" s="43">
        <v>0.61287128712871286</v>
      </c>
      <c r="M110" s="44">
        <v>102</v>
      </c>
      <c r="N110" s="45">
        <v>0.664297253634895</v>
      </c>
      <c r="O110" s="46">
        <v>8740</v>
      </c>
      <c r="P110" s="47">
        <v>1</v>
      </c>
      <c r="Q110" s="48">
        <v>10000</v>
      </c>
      <c r="R110" s="47">
        <v>0.33900000000000002</v>
      </c>
      <c r="S110" s="49" t="s">
        <v>27</v>
      </c>
      <c r="T110" s="50"/>
      <c r="U110" s="54"/>
      <c r="V110" s="52" t="str">
        <f t="shared" si="2"/>
        <v>台郡六</v>
      </c>
      <c r="W110" s="53">
        <v>3.0000000000000001E-3</v>
      </c>
    </row>
    <row r="111" spans="1:23" s="5" customFormat="1" ht="17.100000000000001" customHeight="1" x14ac:dyDescent="0.25">
      <c r="A111" s="34" t="s">
        <v>191</v>
      </c>
      <c r="B111" s="35">
        <v>62843</v>
      </c>
      <c r="C111" s="35" t="s">
        <v>71</v>
      </c>
      <c r="D111" s="36" t="s">
        <v>73</v>
      </c>
      <c r="E111" s="37">
        <v>8.6E-3</v>
      </c>
      <c r="F111" s="38">
        <v>2.7E-2</v>
      </c>
      <c r="G111" s="39">
        <v>45992</v>
      </c>
      <c r="H111" s="39">
        <v>46005</v>
      </c>
      <c r="I111" s="40">
        <v>0.20547945205479451</v>
      </c>
      <c r="J111" s="41">
        <v>100</v>
      </c>
      <c r="K111" s="42">
        <v>86.6</v>
      </c>
      <c r="L111" s="43">
        <v>0.85219399538106233</v>
      </c>
      <c r="M111" s="44">
        <v>108.5</v>
      </c>
      <c r="N111" s="45">
        <v>0.27318428184281851</v>
      </c>
      <c r="O111" s="46">
        <v>9360</v>
      </c>
      <c r="P111" s="47">
        <v>1</v>
      </c>
      <c r="Q111" s="48">
        <v>7000</v>
      </c>
      <c r="R111" s="47">
        <v>0.28799999999999998</v>
      </c>
      <c r="S111" s="49" t="s">
        <v>27</v>
      </c>
      <c r="T111" s="50"/>
      <c r="U111" s="54"/>
      <c r="V111" s="52" t="str">
        <f t="shared" si="2"/>
        <v>佳邦三</v>
      </c>
      <c r="W111" s="53">
        <v>3.0000000000000001E-3</v>
      </c>
    </row>
    <row r="112" spans="1:23" s="5" customFormat="1" ht="17.25" customHeight="1" x14ac:dyDescent="0.25">
      <c r="A112" s="34" t="s">
        <v>192</v>
      </c>
      <c r="B112" s="35">
        <v>629010</v>
      </c>
      <c r="C112" s="35" t="s">
        <v>71</v>
      </c>
      <c r="D112" s="36" t="s">
        <v>78</v>
      </c>
      <c r="E112" s="37">
        <v>5.0600000000000006E-2</v>
      </c>
      <c r="F112" s="38">
        <v>3.2500000000000001E-2</v>
      </c>
      <c r="G112" s="39">
        <v>46506</v>
      </c>
      <c r="H112" s="39">
        <v>46520</v>
      </c>
      <c r="I112" s="40">
        <v>1.6164383561643836</v>
      </c>
      <c r="J112" s="41">
        <v>100.500625</v>
      </c>
      <c r="K112" s="42">
        <v>75.900000000000006</v>
      </c>
      <c r="L112" s="43">
        <v>1.5678524374176548</v>
      </c>
      <c r="M112" s="44">
        <v>157</v>
      </c>
      <c r="N112" s="45">
        <v>1.3697478991597345E-3</v>
      </c>
      <c r="O112" s="46">
        <v>62059.999999999993</v>
      </c>
      <c r="P112" s="47">
        <v>0.79712499999999997</v>
      </c>
      <c r="Q112" s="48">
        <v>8000</v>
      </c>
      <c r="R112" s="47">
        <v>0.46200000000000002</v>
      </c>
      <c r="S112" s="49" t="s">
        <v>28</v>
      </c>
      <c r="T112" s="50"/>
      <c r="U112" s="54"/>
      <c r="V112" s="52" t="str">
        <f t="shared" si="2"/>
        <v>良維十</v>
      </c>
      <c r="W112" s="53">
        <v>3.0000000000000001E-3</v>
      </c>
    </row>
    <row r="113" spans="1:23" s="5" customFormat="1" ht="17.25" customHeight="1" x14ac:dyDescent="0.25">
      <c r="A113" s="34" t="s">
        <v>193</v>
      </c>
      <c r="B113" s="35">
        <v>64145</v>
      </c>
      <c r="C113" s="35" t="s">
        <v>71</v>
      </c>
      <c r="D113" s="36" t="s">
        <v>73</v>
      </c>
      <c r="E113" s="37">
        <v>2.58E-2</v>
      </c>
      <c r="F113" s="38">
        <v>2.5999999999999999E-2</v>
      </c>
      <c r="G113" s="39">
        <v>46237</v>
      </c>
      <c r="H113" s="39">
        <v>46250</v>
      </c>
      <c r="I113" s="40">
        <v>0.87671232876712324</v>
      </c>
      <c r="J113" s="41">
        <v>100</v>
      </c>
      <c r="K113" s="42">
        <v>273.60000000000002</v>
      </c>
      <c r="L113" s="43">
        <v>1.0599415204678362</v>
      </c>
      <c r="M113" s="44">
        <v>115.55</v>
      </c>
      <c r="N113" s="45">
        <v>9.015448275862066E-2</v>
      </c>
      <c r="O113" s="46">
        <v>18129.999999999996</v>
      </c>
      <c r="P113" s="47">
        <v>0.99990000000000001</v>
      </c>
      <c r="Q113" s="48">
        <v>30000</v>
      </c>
      <c r="R113" s="47">
        <v>0.313</v>
      </c>
      <c r="S113" s="49" t="s">
        <v>28</v>
      </c>
      <c r="T113" s="50"/>
      <c r="U113" s="54"/>
      <c r="V113" s="52" t="str">
        <f t="shared" si="2"/>
        <v>樺漢五</v>
      </c>
      <c r="W113" s="53">
        <v>3.0000000000000001E-3</v>
      </c>
    </row>
    <row r="114" spans="1:23" s="5" customFormat="1" ht="17.25" customHeight="1" x14ac:dyDescent="0.25">
      <c r="A114" s="34" t="s">
        <v>194</v>
      </c>
      <c r="B114" s="35">
        <v>64251</v>
      </c>
      <c r="C114" s="35" t="s">
        <v>195</v>
      </c>
      <c r="D114" s="36" t="s">
        <v>61</v>
      </c>
      <c r="E114" s="37">
        <v>0.05</v>
      </c>
      <c r="F114" s="38">
        <v>2.3E-2</v>
      </c>
      <c r="G114" s="39">
        <v>46661</v>
      </c>
      <c r="H114" s="39">
        <v>46675</v>
      </c>
      <c r="I114" s="40">
        <v>2.0410958904109591</v>
      </c>
      <c r="J114" s="41">
        <v>100</v>
      </c>
      <c r="K114" s="42">
        <v>58.7</v>
      </c>
      <c r="L114" s="43">
        <v>1.0017035775127767</v>
      </c>
      <c r="M114" s="44">
        <v>138.80000000000001</v>
      </c>
      <c r="N114" s="45">
        <v>0.38563945578231312</v>
      </c>
      <c r="O114" s="46">
        <v>43800.000000000015</v>
      </c>
      <c r="P114" s="47">
        <v>1</v>
      </c>
      <c r="Q114" s="48">
        <v>2000</v>
      </c>
      <c r="R114" s="47">
        <v>0.373</v>
      </c>
      <c r="S114" s="49" t="s">
        <v>27</v>
      </c>
      <c r="T114" s="50"/>
      <c r="U114" s="54"/>
      <c r="V114" s="52" t="str">
        <f t="shared" si="2"/>
        <v>易發一</v>
      </c>
      <c r="W114" s="53">
        <v>3.0000000000000001E-3</v>
      </c>
    </row>
    <row r="115" spans="1:23" s="5" customFormat="1" ht="17.25" customHeight="1" x14ac:dyDescent="0.25">
      <c r="A115" s="34" t="s">
        <v>34</v>
      </c>
      <c r="B115" s="35">
        <v>64693</v>
      </c>
      <c r="C115" s="35" t="s">
        <v>71</v>
      </c>
      <c r="D115" s="36" t="s">
        <v>73</v>
      </c>
      <c r="E115" s="37">
        <v>8.2200000000000009E-2</v>
      </c>
      <c r="F115" s="38">
        <v>2.8000000000000001E-2</v>
      </c>
      <c r="G115" s="39">
        <v>46948</v>
      </c>
      <c r="H115" s="39">
        <v>46962</v>
      </c>
      <c r="I115" s="40">
        <v>2.8273972602739725</v>
      </c>
      <c r="J115" s="41">
        <v>100</v>
      </c>
      <c r="K115" s="42">
        <v>132.53</v>
      </c>
      <c r="L115" s="43">
        <v>0.96204632913302646</v>
      </c>
      <c r="M115" s="44">
        <v>111</v>
      </c>
      <c r="N115" s="45">
        <v>0.15379058823529415</v>
      </c>
      <c r="O115" s="46">
        <v>19220</v>
      </c>
      <c r="P115" s="47">
        <v>1</v>
      </c>
      <c r="Q115" s="48">
        <v>10000</v>
      </c>
      <c r="R115" s="47">
        <v>0.16200000000000001</v>
      </c>
      <c r="S115" s="49" t="s">
        <v>28</v>
      </c>
      <c r="T115" s="50"/>
      <c r="U115" s="54"/>
      <c r="V115" s="52" t="str">
        <f t="shared" si="2"/>
        <v>大樹三</v>
      </c>
      <c r="W115" s="53">
        <v>3.0000000000000001E-3</v>
      </c>
    </row>
    <row r="116" spans="1:23" s="5" customFormat="1" ht="17.25" customHeight="1" x14ac:dyDescent="0.25">
      <c r="A116" s="34" t="s">
        <v>196</v>
      </c>
      <c r="B116" s="35">
        <v>65521</v>
      </c>
      <c r="C116" s="35" t="s">
        <v>131</v>
      </c>
      <c r="D116" s="36" t="s">
        <v>69</v>
      </c>
      <c r="E116" s="37">
        <v>2.76E-2</v>
      </c>
      <c r="F116" s="38">
        <v>2.3E-2</v>
      </c>
      <c r="G116" s="39">
        <v>46307</v>
      </c>
      <c r="H116" s="39">
        <v>46320</v>
      </c>
      <c r="I116" s="40">
        <v>1.0684931506849316</v>
      </c>
      <c r="J116" s="41">
        <v>100</v>
      </c>
      <c r="K116" s="42">
        <v>58.8</v>
      </c>
      <c r="L116" s="43">
        <v>0.49064625850340143</v>
      </c>
      <c r="M116" s="44">
        <v>100.5</v>
      </c>
      <c r="N116" s="45">
        <v>1.0483188908145578</v>
      </c>
      <c r="O116" s="46">
        <v>3259.9999999999995</v>
      </c>
      <c r="P116" s="47">
        <v>1</v>
      </c>
      <c r="Q116" s="48">
        <v>5000</v>
      </c>
      <c r="R116" s="47">
        <v>0.46700000000000003</v>
      </c>
      <c r="S116" s="49" t="s">
        <v>27</v>
      </c>
      <c r="T116" s="50"/>
      <c r="U116" s="51"/>
      <c r="V116" s="52" t="str">
        <f t="shared" si="2"/>
        <v>易華電一</v>
      </c>
      <c r="W116" s="53">
        <v>3.0000000000000001E-3</v>
      </c>
    </row>
    <row r="117" spans="1:23" s="5" customFormat="1" ht="17.25" customHeight="1" x14ac:dyDescent="0.25">
      <c r="A117" s="34" t="s">
        <v>35</v>
      </c>
      <c r="B117" s="35">
        <v>65841</v>
      </c>
      <c r="C117" s="35" t="s">
        <v>161</v>
      </c>
      <c r="D117" s="36" t="s">
        <v>69</v>
      </c>
      <c r="E117" s="37">
        <v>1.7899999999999999E-2</v>
      </c>
      <c r="F117" s="38">
        <v>2.3E-2</v>
      </c>
      <c r="G117" s="39">
        <v>46310</v>
      </c>
      <c r="H117" s="39">
        <v>46324</v>
      </c>
      <c r="I117" s="40">
        <v>1.0794520547945206</v>
      </c>
      <c r="J117" s="41">
        <v>101.0025</v>
      </c>
      <c r="K117" s="42">
        <v>177.5</v>
      </c>
      <c r="L117" s="43">
        <v>1.3352112676056338</v>
      </c>
      <c r="M117" s="44">
        <v>133</v>
      </c>
      <c r="N117" s="45">
        <v>-3.9029535864979681E-3</v>
      </c>
      <c r="O117" s="46">
        <v>34790</v>
      </c>
      <c r="P117" s="47">
        <v>0.9711428571428572</v>
      </c>
      <c r="Q117" s="48">
        <v>7000</v>
      </c>
      <c r="R117" s="47">
        <v>0.70599999999999996</v>
      </c>
      <c r="S117" s="49" t="s">
        <v>27</v>
      </c>
      <c r="T117" s="50"/>
      <c r="U117" s="51"/>
      <c r="V117" s="52" t="str">
        <f t="shared" si="2"/>
        <v>南俊國際一</v>
      </c>
      <c r="W117" s="53">
        <v>3.0000000000000001E-3</v>
      </c>
    </row>
    <row r="118" spans="1:23" s="5" customFormat="1" ht="17.25" customHeight="1" x14ac:dyDescent="0.25">
      <c r="A118" s="34" t="s">
        <v>197</v>
      </c>
      <c r="B118" s="35">
        <v>65851</v>
      </c>
      <c r="C118" s="35" t="s">
        <v>147</v>
      </c>
      <c r="D118" s="36" t="s">
        <v>78</v>
      </c>
      <c r="E118" s="37">
        <v>2.7699999999999999E-2</v>
      </c>
      <c r="F118" s="38">
        <v>2.3E-2</v>
      </c>
      <c r="G118" s="39">
        <v>46307</v>
      </c>
      <c r="H118" s="39">
        <v>46321</v>
      </c>
      <c r="I118" s="40">
        <v>1.0712328767123287</v>
      </c>
      <c r="J118" s="41">
        <v>100</v>
      </c>
      <c r="K118" s="42">
        <v>110.9</v>
      </c>
      <c r="L118" s="43">
        <v>0.90622182146077546</v>
      </c>
      <c r="M118" s="44">
        <v>110.15</v>
      </c>
      <c r="N118" s="45">
        <v>0.21548606965174133</v>
      </c>
      <c r="O118" s="46">
        <v>12920.000000000007</v>
      </c>
      <c r="P118" s="47">
        <v>0.54620000000000002</v>
      </c>
      <c r="Q118" s="48">
        <v>5000</v>
      </c>
      <c r="R118" s="47">
        <v>0.48899999999999999</v>
      </c>
      <c r="S118" s="49" t="s">
        <v>27</v>
      </c>
      <c r="T118" s="50"/>
      <c r="U118" s="51"/>
      <c r="V118" s="52" t="str">
        <f t="shared" si="2"/>
        <v>鼎基一</v>
      </c>
      <c r="W118" s="53">
        <v>3.0000000000000001E-3</v>
      </c>
    </row>
    <row r="119" spans="1:23" s="5" customFormat="1" ht="17.25" customHeight="1" x14ac:dyDescent="0.25">
      <c r="A119" s="34" t="s">
        <v>198</v>
      </c>
      <c r="B119" s="35">
        <v>65931</v>
      </c>
      <c r="C119" s="35" t="s">
        <v>131</v>
      </c>
      <c r="D119" s="36" t="s">
        <v>67</v>
      </c>
      <c r="E119" s="37">
        <v>7.6E-3</v>
      </c>
      <c r="F119" s="38">
        <v>2.1999999999999999E-2</v>
      </c>
      <c r="G119" s="39">
        <v>45992</v>
      </c>
      <c r="H119" s="39">
        <v>46005</v>
      </c>
      <c r="I119" s="40">
        <v>0.20547945205479451</v>
      </c>
      <c r="J119" s="41">
        <v>100</v>
      </c>
      <c r="K119" s="42">
        <v>37.15</v>
      </c>
      <c r="L119" s="43">
        <v>1.3283983849259762</v>
      </c>
      <c r="M119" s="44">
        <v>298</v>
      </c>
      <c r="N119" s="45">
        <v>1.2433029381965548</v>
      </c>
      <c r="O119" s="46">
        <v>198760</v>
      </c>
      <c r="P119" s="47">
        <v>0.11600000000000001</v>
      </c>
      <c r="Q119" s="48">
        <v>3000</v>
      </c>
      <c r="R119" s="47">
        <v>0.375</v>
      </c>
      <c r="S119" s="49" t="s">
        <v>27</v>
      </c>
      <c r="T119" s="50"/>
      <c r="U119" s="51"/>
      <c r="V119" s="52" t="str">
        <f t="shared" si="2"/>
        <v>台灣銘板一</v>
      </c>
      <c r="W119" s="53">
        <v>3.0000000000000001E-3</v>
      </c>
    </row>
    <row r="120" spans="1:23" s="5" customFormat="1" ht="17.25" customHeight="1" x14ac:dyDescent="0.25">
      <c r="A120" s="34" t="s">
        <v>199</v>
      </c>
      <c r="B120" s="35">
        <v>66241</v>
      </c>
      <c r="C120" s="35" t="s">
        <v>121</v>
      </c>
      <c r="D120" s="36" t="s">
        <v>67</v>
      </c>
      <c r="E120" s="37">
        <v>3.6100000000000007E-2</v>
      </c>
      <c r="F120" s="38">
        <v>2.3E-2</v>
      </c>
      <c r="G120" s="39">
        <v>46559</v>
      </c>
      <c r="H120" s="39">
        <v>46573</v>
      </c>
      <c r="I120" s="40">
        <v>1.7616438356164383</v>
      </c>
      <c r="J120" s="41">
        <v>100.75</v>
      </c>
      <c r="K120" s="42">
        <v>40.6</v>
      </c>
      <c r="L120" s="43">
        <v>0.83990147783251234</v>
      </c>
      <c r="M120" s="44">
        <v>102.1</v>
      </c>
      <c r="N120" s="45">
        <v>0.21561876832844568</v>
      </c>
      <c r="O120" s="46">
        <v>5709.9999999999945</v>
      </c>
      <c r="P120" s="47">
        <v>1</v>
      </c>
      <c r="Q120" s="48">
        <v>1000</v>
      </c>
      <c r="R120" s="47">
        <v>0.30199999999999999</v>
      </c>
      <c r="S120" s="49" t="s">
        <v>27</v>
      </c>
      <c r="T120" s="50"/>
      <c r="U120" s="51"/>
      <c r="V120" s="52" t="str">
        <f t="shared" si="2"/>
        <v>萬年清一</v>
      </c>
      <c r="W120" s="53">
        <v>3.0000000000000001E-3</v>
      </c>
    </row>
    <row r="121" spans="1:23" s="5" customFormat="1" ht="17.25" customHeight="1" x14ac:dyDescent="0.25">
      <c r="A121" s="34" t="s">
        <v>200</v>
      </c>
      <c r="B121" s="35">
        <v>66642</v>
      </c>
      <c r="C121" s="35" t="s">
        <v>71</v>
      </c>
      <c r="D121" s="36" t="s">
        <v>69</v>
      </c>
      <c r="E121" s="37">
        <v>9.3900000000000011E-2</v>
      </c>
      <c r="F121" s="38">
        <v>4.2500000000000003E-2</v>
      </c>
      <c r="G121" s="39">
        <v>46696</v>
      </c>
      <c r="H121" s="39">
        <v>46710</v>
      </c>
      <c r="I121" s="40">
        <v>2.1369863013698631</v>
      </c>
      <c r="J121" s="41">
        <v>100</v>
      </c>
      <c r="K121" s="42">
        <v>292.10000000000002</v>
      </c>
      <c r="L121" s="43">
        <v>0.8456008216364258</v>
      </c>
      <c r="M121" s="44">
        <v>116</v>
      </c>
      <c r="N121" s="45">
        <v>0.37180566801619452</v>
      </c>
      <c r="O121" s="46">
        <v>25390</v>
      </c>
      <c r="P121" s="47">
        <v>1</v>
      </c>
      <c r="Q121" s="48">
        <v>12500</v>
      </c>
      <c r="R121" s="47">
        <v>0.54300000000000004</v>
      </c>
      <c r="S121" s="49" t="s">
        <v>28</v>
      </c>
      <c r="T121" s="50"/>
      <c r="U121" s="51"/>
      <c r="V121" s="52" t="str">
        <f t="shared" si="2"/>
        <v>群翊二</v>
      </c>
      <c r="W121" s="53">
        <v>3.0000000000000001E-3</v>
      </c>
    </row>
    <row r="122" spans="1:23" s="5" customFormat="1" ht="17.25" customHeight="1" x14ac:dyDescent="0.25">
      <c r="A122" s="34" t="s">
        <v>201</v>
      </c>
      <c r="B122" s="35">
        <v>67152</v>
      </c>
      <c r="C122" s="35" t="s">
        <v>71</v>
      </c>
      <c r="D122" s="36" t="s">
        <v>78</v>
      </c>
      <c r="E122" s="37">
        <v>4.2100000000000005E-2</v>
      </c>
      <c r="F122" s="38">
        <v>0.03</v>
      </c>
      <c r="G122" s="39">
        <v>46391</v>
      </c>
      <c r="H122" s="39">
        <v>46405</v>
      </c>
      <c r="I122" s="40">
        <v>1.3013698630136987</v>
      </c>
      <c r="J122" s="41">
        <v>100</v>
      </c>
      <c r="K122" s="42">
        <v>157.1</v>
      </c>
      <c r="L122" s="43">
        <v>0.59134309357097392</v>
      </c>
      <c r="M122" s="44">
        <v>104</v>
      </c>
      <c r="N122" s="45">
        <v>0.75870828848223892</v>
      </c>
      <c r="O122" s="46">
        <v>8210</v>
      </c>
      <c r="P122" s="47">
        <v>1</v>
      </c>
      <c r="Q122" s="48">
        <v>3000</v>
      </c>
      <c r="R122" s="47">
        <v>0.42799999999999999</v>
      </c>
      <c r="S122" s="49" t="s">
        <v>28</v>
      </c>
      <c r="T122" s="50"/>
      <c r="U122" s="51"/>
      <c r="V122" s="52" t="str">
        <f t="shared" si="2"/>
        <v>嘉基二</v>
      </c>
      <c r="W122" s="53">
        <v>3.0000000000000001E-3</v>
      </c>
    </row>
    <row r="123" spans="1:23" s="5" customFormat="1" ht="17.25" customHeight="1" x14ac:dyDescent="0.25">
      <c r="A123" s="34" t="s">
        <v>202</v>
      </c>
      <c r="B123" s="35">
        <v>67531</v>
      </c>
      <c r="C123" s="35" t="s">
        <v>71</v>
      </c>
      <c r="D123" s="36" t="s">
        <v>78</v>
      </c>
      <c r="E123" s="37">
        <v>5.9400000000000008E-2</v>
      </c>
      <c r="F123" s="38">
        <v>3.2500000000000001E-2</v>
      </c>
      <c r="G123" s="39">
        <v>46549</v>
      </c>
      <c r="H123" s="39">
        <v>46563</v>
      </c>
      <c r="I123" s="40">
        <v>1.7342465753424658</v>
      </c>
      <c r="J123" s="41">
        <v>100</v>
      </c>
      <c r="K123" s="42">
        <v>116.6</v>
      </c>
      <c r="L123" s="43">
        <v>1.2178387650085765</v>
      </c>
      <c r="M123" s="44">
        <v>130.55000000000001</v>
      </c>
      <c r="N123" s="45">
        <v>7.1980985915492943E-2</v>
      </c>
      <c r="O123" s="46">
        <v>36490.000000000015</v>
      </c>
      <c r="P123" s="47">
        <v>0.52429999999999999</v>
      </c>
      <c r="Q123" s="48">
        <v>10000</v>
      </c>
      <c r="R123" s="47">
        <v>0.94299999999999995</v>
      </c>
      <c r="S123" s="49" t="s">
        <v>28</v>
      </c>
      <c r="T123" s="50"/>
      <c r="U123" s="51"/>
      <c r="V123" s="52" t="str">
        <f t="shared" si="2"/>
        <v>龍德造船一</v>
      </c>
      <c r="W123" s="53">
        <v>3.0000000000000001E-3</v>
      </c>
    </row>
    <row r="124" spans="1:23" s="5" customFormat="1" ht="17.25" customHeight="1" x14ac:dyDescent="0.25">
      <c r="A124" s="34" t="s">
        <v>203</v>
      </c>
      <c r="B124" s="35">
        <v>67711</v>
      </c>
      <c r="C124" s="35" t="s">
        <v>167</v>
      </c>
      <c r="D124" s="36" t="s">
        <v>69</v>
      </c>
      <c r="E124" s="37">
        <v>2.9899999999999999E-2</v>
      </c>
      <c r="F124" s="38">
        <v>2.3E-2</v>
      </c>
      <c r="G124" s="39">
        <v>46503</v>
      </c>
      <c r="H124" s="39">
        <v>46515</v>
      </c>
      <c r="I124" s="40">
        <v>1.6027397260273972</v>
      </c>
      <c r="J124" s="41">
        <v>101.0025</v>
      </c>
      <c r="K124" s="42">
        <v>51.66</v>
      </c>
      <c r="L124" s="43">
        <v>0.99690282617111892</v>
      </c>
      <c r="M124" s="44">
        <v>108.8</v>
      </c>
      <c r="N124" s="45">
        <v>9.1380194174757193E-2</v>
      </c>
      <c r="O124" s="46">
        <v>11789.999999999996</v>
      </c>
      <c r="P124" s="47">
        <v>1</v>
      </c>
      <c r="Q124" s="48">
        <v>3500</v>
      </c>
      <c r="R124" s="47">
        <v>0.109</v>
      </c>
      <c r="S124" s="49" t="s">
        <v>27</v>
      </c>
      <c r="T124" s="50"/>
      <c r="U124" s="51"/>
      <c r="V124" s="52" t="str">
        <f t="shared" si="2"/>
        <v>平和環保一創</v>
      </c>
      <c r="W124" s="53">
        <v>3.0000000000000001E-3</v>
      </c>
    </row>
    <row r="125" spans="1:23" s="5" customFormat="1" ht="17.25" customHeight="1" x14ac:dyDescent="0.25">
      <c r="A125" s="34" t="s">
        <v>204</v>
      </c>
      <c r="B125" s="35">
        <v>68211</v>
      </c>
      <c r="C125" s="35" t="s">
        <v>71</v>
      </c>
      <c r="D125" s="36" t="s">
        <v>69</v>
      </c>
      <c r="E125" s="37">
        <v>7.740000000000001E-2</v>
      </c>
      <c r="F125" s="38">
        <v>4.4999999999999998E-2</v>
      </c>
      <c r="G125" s="39">
        <v>46601</v>
      </c>
      <c r="H125" s="39">
        <v>46614</v>
      </c>
      <c r="I125" s="40">
        <v>1.8739726027397261</v>
      </c>
      <c r="J125" s="41">
        <v>101</v>
      </c>
      <c r="K125" s="42">
        <v>43.06</v>
      </c>
      <c r="L125" s="43">
        <v>0.86855550394797953</v>
      </c>
      <c r="M125" s="44">
        <v>102.25</v>
      </c>
      <c r="N125" s="45">
        <v>0.17724197860962562</v>
      </c>
      <c r="O125" s="46">
        <v>9990.0000000000018</v>
      </c>
      <c r="P125" s="47">
        <v>1</v>
      </c>
      <c r="Q125" s="48">
        <v>3000</v>
      </c>
      <c r="R125" s="47" t="e">
        <v>#N/A</v>
      </c>
      <c r="S125" s="49" t="s">
        <v>28</v>
      </c>
      <c r="T125" s="50"/>
      <c r="U125" s="51"/>
      <c r="V125" s="52" t="str">
        <f t="shared" ref="V125" si="3">A125</f>
        <v>聯寶一</v>
      </c>
      <c r="W125" s="53">
        <v>3.0000000000000001E-3</v>
      </c>
    </row>
    <row r="126" spans="1:23" s="5" customFormat="1" ht="17.25" customHeight="1" x14ac:dyDescent="0.25">
      <c r="A126" s="34" t="s">
        <v>205</v>
      </c>
      <c r="B126" s="35">
        <v>68301</v>
      </c>
      <c r="C126" s="35" t="s">
        <v>71</v>
      </c>
      <c r="D126" s="36" t="s">
        <v>78</v>
      </c>
      <c r="E126" s="37">
        <v>3.15E-2</v>
      </c>
      <c r="F126" s="38">
        <v>3.2500000000000001E-2</v>
      </c>
      <c r="G126" s="39">
        <v>46237</v>
      </c>
      <c r="H126" s="39">
        <v>46249</v>
      </c>
      <c r="I126" s="40">
        <v>0.87397260273972599</v>
      </c>
      <c r="J126" s="41">
        <v>100</v>
      </c>
      <c r="K126" s="42">
        <v>147.80000000000001</v>
      </c>
      <c r="L126" s="43">
        <v>1.1163734776725303</v>
      </c>
      <c r="M126" s="44">
        <v>123.5</v>
      </c>
      <c r="N126" s="45">
        <v>0.10626060606060618</v>
      </c>
      <c r="O126" s="46">
        <v>26649.999999999996</v>
      </c>
      <c r="P126" s="47">
        <v>0.99980000000000002</v>
      </c>
      <c r="Q126" s="48">
        <v>5000</v>
      </c>
      <c r="R126" s="47">
        <v>0.45100000000000001</v>
      </c>
      <c r="S126" s="49" t="s">
        <v>28</v>
      </c>
      <c r="T126" s="50"/>
      <c r="U126" s="51"/>
      <c r="V126" s="52" t="str">
        <f t="shared" si="2"/>
        <v>汎銓一</v>
      </c>
      <c r="W126" s="53">
        <v>3.0000000000000001E-3</v>
      </c>
    </row>
    <row r="127" spans="1:23" s="5" customFormat="1" ht="17.25" customHeight="1" x14ac:dyDescent="0.25">
      <c r="A127" s="34" t="s">
        <v>206</v>
      </c>
      <c r="B127" s="35">
        <v>68541</v>
      </c>
      <c r="C127" s="35" t="s">
        <v>207</v>
      </c>
      <c r="D127" s="36" t="s">
        <v>67</v>
      </c>
      <c r="E127" s="37">
        <v>2.5499999999999998E-2</v>
      </c>
      <c r="F127" s="38">
        <v>2.3E-2</v>
      </c>
      <c r="G127" s="39">
        <v>46433</v>
      </c>
      <c r="H127" s="39">
        <v>46445</v>
      </c>
      <c r="I127" s="40">
        <v>1.4109589041095891</v>
      </c>
      <c r="J127" s="41">
        <v>101.0025</v>
      </c>
      <c r="K127" s="42">
        <v>248.3</v>
      </c>
      <c r="L127" s="43">
        <v>0.62223117196939182</v>
      </c>
      <c r="M127" s="44">
        <v>106.1</v>
      </c>
      <c r="N127" s="45">
        <v>0.7051540453074433</v>
      </c>
      <c r="O127" s="46">
        <v>8649.9999999999945</v>
      </c>
      <c r="P127" s="47">
        <v>1</v>
      </c>
      <c r="Q127" s="48">
        <v>8000</v>
      </c>
      <c r="R127" s="47">
        <v>0.63800000000000001</v>
      </c>
      <c r="S127" s="49" t="s">
        <v>27</v>
      </c>
      <c r="T127" s="50"/>
      <c r="U127" s="54"/>
      <c r="V127" s="52" t="str">
        <f t="shared" si="2"/>
        <v>錼創科技一KY創</v>
      </c>
      <c r="W127" s="53">
        <v>3.0000000000000001E-3</v>
      </c>
    </row>
    <row r="128" spans="1:23" s="5" customFormat="1" ht="17.25" customHeight="1" x14ac:dyDescent="0.25">
      <c r="A128" s="34" t="s">
        <v>208</v>
      </c>
      <c r="B128" s="35">
        <v>75561</v>
      </c>
      <c r="C128" s="35" t="s">
        <v>71</v>
      </c>
      <c r="D128" s="36" t="s">
        <v>69</v>
      </c>
      <c r="E128" s="37">
        <v>0.1178</v>
      </c>
      <c r="F128" s="38">
        <v>0.04</v>
      </c>
      <c r="G128" s="39">
        <v>46965</v>
      </c>
      <c r="H128" s="39">
        <v>46977</v>
      </c>
      <c r="I128" s="40">
        <v>2.8684931506849316</v>
      </c>
      <c r="J128" s="41">
        <v>100</v>
      </c>
      <c r="K128" s="42">
        <v>180.9</v>
      </c>
      <c r="L128" s="43">
        <v>0.90381426202321724</v>
      </c>
      <c r="M128" s="44">
        <v>118</v>
      </c>
      <c r="N128" s="45">
        <v>0.30557798165137623</v>
      </c>
      <c r="O128" s="46">
        <v>29780</v>
      </c>
      <c r="P128" s="47">
        <v>1</v>
      </c>
      <c r="Q128" s="48">
        <v>1000</v>
      </c>
      <c r="R128" s="47" t="e">
        <v>#N/A</v>
      </c>
      <c r="S128" s="49" t="s">
        <v>28</v>
      </c>
      <c r="T128" s="50"/>
      <c r="U128" s="54"/>
      <c r="V128" s="52" t="str">
        <f t="shared" ref="V128:V129" si="4">A128</f>
        <v>意德士一永</v>
      </c>
      <c r="W128" s="53">
        <v>3.0000000000000001E-3</v>
      </c>
    </row>
    <row r="129" spans="1:23" s="5" customFormat="1" ht="17.25" customHeight="1" x14ac:dyDescent="0.25">
      <c r="A129" s="34" t="s">
        <v>209</v>
      </c>
      <c r="B129" s="35">
        <v>75562</v>
      </c>
      <c r="C129" s="35" t="s">
        <v>71</v>
      </c>
      <c r="D129" s="36" t="s">
        <v>69</v>
      </c>
      <c r="E129" s="37">
        <v>0.11810000000000001</v>
      </c>
      <c r="F129" s="38">
        <v>0.04</v>
      </c>
      <c r="G129" s="39">
        <v>46966</v>
      </c>
      <c r="H129" s="39">
        <v>46980</v>
      </c>
      <c r="I129" s="40">
        <v>2.8767123287671232</v>
      </c>
      <c r="J129" s="41">
        <v>100</v>
      </c>
      <c r="K129" s="42">
        <v>177.4</v>
      </c>
      <c r="L129" s="43">
        <v>0.9216459977452085</v>
      </c>
      <c r="M129" s="44">
        <v>119.9</v>
      </c>
      <c r="N129" s="45">
        <v>0.30093333333333344</v>
      </c>
      <c r="O129" s="46">
        <v>31710.000000000004</v>
      </c>
      <c r="P129" s="47">
        <v>1</v>
      </c>
      <c r="Q129" s="48">
        <v>2000</v>
      </c>
      <c r="R129" s="47" t="e">
        <v>#N/A</v>
      </c>
      <c r="S129" s="49" t="s">
        <v>28</v>
      </c>
      <c r="T129" s="50"/>
      <c r="U129" s="54"/>
      <c r="V129" s="52" t="str">
        <f t="shared" si="4"/>
        <v>意德士二</v>
      </c>
      <c r="W129" s="53">
        <v>3.0000000000000001E-3</v>
      </c>
    </row>
    <row r="130" spans="1:23" s="5" customFormat="1" ht="17.25" customHeight="1" x14ac:dyDescent="0.25">
      <c r="A130" s="34" t="s">
        <v>210</v>
      </c>
      <c r="B130" s="35">
        <v>81473</v>
      </c>
      <c r="C130" s="35" t="s">
        <v>71</v>
      </c>
      <c r="D130" s="36" t="s">
        <v>69</v>
      </c>
      <c r="E130" s="37">
        <v>8.3400000000000002E-2</v>
      </c>
      <c r="F130" s="38">
        <v>0.04</v>
      </c>
      <c r="G130" s="39">
        <v>46650</v>
      </c>
      <c r="H130" s="39">
        <v>46663</v>
      </c>
      <c r="I130" s="40">
        <v>2.0082191780821916</v>
      </c>
      <c r="J130" s="41">
        <v>100</v>
      </c>
      <c r="K130" s="42">
        <v>132.1</v>
      </c>
      <c r="L130" s="43">
        <v>0.87055261165783504</v>
      </c>
      <c r="M130" s="44">
        <v>112</v>
      </c>
      <c r="N130" s="45">
        <v>0.28653913043478246</v>
      </c>
      <c r="O130" s="46">
        <v>20340</v>
      </c>
      <c r="P130" s="47">
        <v>0.996</v>
      </c>
      <c r="Q130" s="48">
        <v>3000</v>
      </c>
      <c r="R130" s="47">
        <v>0.46800000000000003</v>
      </c>
      <c r="S130" s="49" t="s">
        <v>28</v>
      </c>
      <c r="T130" s="50"/>
      <c r="U130" s="51"/>
      <c r="V130" s="52" t="str">
        <f t="shared" ref="V130:V143" si="5">A130</f>
        <v>正淩三</v>
      </c>
      <c r="W130" s="53">
        <v>3.0000000000000001E-3</v>
      </c>
    </row>
    <row r="131" spans="1:23" s="5" customFormat="1" ht="17.25" customHeight="1" x14ac:dyDescent="0.25">
      <c r="A131" s="34" t="s">
        <v>211</v>
      </c>
      <c r="B131" s="35">
        <v>81551</v>
      </c>
      <c r="C131" s="35" t="s">
        <v>71</v>
      </c>
      <c r="D131" s="36" t="s">
        <v>73</v>
      </c>
      <c r="E131" s="37">
        <v>6.0000000000000005E-2</v>
      </c>
      <c r="F131" s="38">
        <v>2.5000000000000001E-2</v>
      </c>
      <c r="G131" s="39">
        <v>46748</v>
      </c>
      <c r="H131" s="39">
        <v>46762</v>
      </c>
      <c r="I131" s="40">
        <v>2.2794520547945205</v>
      </c>
      <c r="J131" s="41">
        <v>100</v>
      </c>
      <c r="K131" s="42">
        <v>121.6</v>
      </c>
      <c r="L131" s="43">
        <v>1.25</v>
      </c>
      <c r="M131" s="44">
        <v>128.1</v>
      </c>
      <c r="N131" s="45">
        <v>2.4799999999999954E-2</v>
      </c>
      <c r="O131" s="46">
        <v>34099.999999999993</v>
      </c>
      <c r="P131" s="47">
        <v>1</v>
      </c>
      <c r="Q131" s="48">
        <v>10000</v>
      </c>
      <c r="R131" s="47">
        <v>0.63</v>
      </c>
      <c r="S131" s="49" t="s">
        <v>28</v>
      </c>
      <c r="T131" s="50"/>
      <c r="U131" s="51"/>
      <c r="V131" s="52" t="str">
        <f t="shared" si="5"/>
        <v>博智一</v>
      </c>
      <c r="W131" s="53">
        <v>3.0000000000000001E-3</v>
      </c>
    </row>
    <row r="132" spans="1:23" s="5" customFormat="1" ht="16.5" x14ac:dyDescent="0.25">
      <c r="A132" s="34" t="s">
        <v>212</v>
      </c>
      <c r="B132" s="35">
        <v>82551</v>
      </c>
      <c r="C132" s="35" t="s">
        <v>71</v>
      </c>
      <c r="D132" s="36" t="s">
        <v>73</v>
      </c>
      <c r="E132" s="37">
        <v>2.6199999999999998E-2</v>
      </c>
      <c r="F132" s="38">
        <v>2.7E-2</v>
      </c>
      <c r="G132" s="39">
        <v>46230</v>
      </c>
      <c r="H132" s="39">
        <v>46243</v>
      </c>
      <c r="I132" s="40">
        <v>0.8575342465753425</v>
      </c>
      <c r="J132" s="41">
        <v>100</v>
      </c>
      <c r="K132" s="42">
        <v>196.2</v>
      </c>
      <c r="L132" s="43">
        <v>0.69317023445463821</v>
      </c>
      <c r="M132" s="44">
        <v>107.1</v>
      </c>
      <c r="N132" s="45">
        <v>0.54507499999999975</v>
      </c>
      <c r="O132" s="46">
        <v>9719.9999999999945</v>
      </c>
      <c r="P132" s="47">
        <v>0.99987499999999996</v>
      </c>
      <c r="Q132" s="48">
        <v>8000</v>
      </c>
      <c r="R132" s="47">
        <v>0.56999999999999995</v>
      </c>
      <c r="S132" s="49" t="s">
        <v>28</v>
      </c>
      <c r="T132" s="50"/>
      <c r="U132" s="51"/>
      <c r="V132" s="52" t="str">
        <f t="shared" si="5"/>
        <v>朋程一</v>
      </c>
      <c r="W132" s="53">
        <v>3.0000000000000001E-3</v>
      </c>
    </row>
    <row r="133" spans="1:23" s="5" customFormat="1" ht="16.5" x14ac:dyDescent="0.25">
      <c r="A133" s="34" t="s">
        <v>213</v>
      </c>
      <c r="B133" s="35">
        <v>82992</v>
      </c>
      <c r="C133" s="35" t="s">
        <v>71</v>
      </c>
      <c r="D133" s="36" t="s">
        <v>88</v>
      </c>
      <c r="E133" s="37">
        <v>3.7200000000000004E-2</v>
      </c>
      <c r="F133" s="38">
        <v>2.5999999999999999E-2</v>
      </c>
      <c r="G133" s="39">
        <v>46398</v>
      </c>
      <c r="H133" s="39">
        <v>46410</v>
      </c>
      <c r="I133" s="40">
        <v>1.3150684931506849</v>
      </c>
      <c r="J133" s="41">
        <v>100</v>
      </c>
      <c r="K133" s="42">
        <v>550.5</v>
      </c>
      <c r="L133" s="43">
        <v>1.1534968210717529</v>
      </c>
      <c r="M133" s="44">
        <v>130.1</v>
      </c>
      <c r="N133" s="45">
        <v>0.12787480314960636</v>
      </c>
      <c r="O133" s="46">
        <v>33819.999999999993</v>
      </c>
      <c r="P133" s="47">
        <v>1</v>
      </c>
      <c r="Q133" s="48">
        <v>60000</v>
      </c>
      <c r="R133" s="47">
        <v>0.626</v>
      </c>
      <c r="S133" s="49" t="s">
        <v>28</v>
      </c>
      <c r="T133" s="50"/>
      <c r="U133" s="51"/>
      <c r="V133" s="52" t="str">
        <f t="shared" si="5"/>
        <v>群聯二</v>
      </c>
      <c r="W133" s="53">
        <v>3.0000000000000001E-3</v>
      </c>
    </row>
    <row r="134" spans="1:23" s="5" customFormat="1" ht="17.25" customHeight="1" x14ac:dyDescent="0.25">
      <c r="A134" s="34" t="s">
        <v>214</v>
      </c>
      <c r="B134" s="35">
        <v>84113</v>
      </c>
      <c r="C134" s="35" t="s">
        <v>215</v>
      </c>
      <c r="D134" s="36" t="s">
        <v>69</v>
      </c>
      <c r="E134" s="37">
        <v>6.0800000000000007E-2</v>
      </c>
      <c r="F134" s="38">
        <v>2.3E-2</v>
      </c>
      <c r="G134" s="39">
        <v>46952</v>
      </c>
      <c r="H134" s="39">
        <v>46966</v>
      </c>
      <c r="I134" s="40">
        <v>2.8383561643835615</v>
      </c>
      <c r="J134" s="41">
        <v>100.75190000000001</v>
      </c>
      <c r="K134" s="42">
        <v>13.3</v>
      </c>
      <c r="L134" s="43">
        <v>0.95112781954887216</v>
      </c>
      <c r="M134" s="44">
        <v>101.7</v>
      </c>
      <c r="N134" s="45">
        <v>6.9256916996047538E-2</v>
      </c>
      <c r="O134" s="46">
        <v>7780.0000000000036</v>
      </c>
      <c r="P134" s="47">
        <v>1</v>
      </c>
      <c r="Q134" s="48">
        <v>12000</v>
      </c>
      <c r="R134" s="47">
        <v>0.10299999999999999</v>
      </c>
      <c r="S134" s="49" t="s">
        <v>28</v>
      </c>
      <c r="T134" s="50"/>
      <c r="U134" s="54"/>
      <c r="V134" s="52" t="str">
        <f t="shared" si="5"/>
        <v>福貞三KY</v>
      </c>
      <c r="W134" s="53">
        <v>3.0000000000000001E-3</v>
      </c>
    </row>
    <row r="135" spans="1:23" s="5" customFormat="1" ht="16.5" x14ac:dyDescent="0.25">
      <c r="A135" s="34" t="s">
        <v>216</v>
      </c>
      <c r="B135" s="35">
        <v>84222</v>
      </c>
      <c r="C135" s="35" t="s">
        <v>71</v>
      </c>
      <c r="D135" s="36" t="s">
        <v>73</v>
      </c>
      <c r="E135" s="37">
        <v>8.5000000000000006E-2</v>
      </c>
      <c r="F135" s="38">
        <v>3.2500000000000001E-2</v>
      </c>
      <c r="G135" s="39">
        <v>46836</v>
      </c>
      <c r="H135" s="39">
        <v>46850</v>
      </c>
      <c r="I135" s="40">
        <v>2.5205479452054793</v>
      </c>
      <c r="J135" s="41">
        <v>100</v>
      </c>
      <c r="K135" s="42">
        <v>189.8</v>
      </c>
      <c r="L135" s="43">
        <v>1.0616438356164384</v>
      </c>
      <c r="M135" s="44">
        <v>116.45</v>
      </c>
      <c r="N135" s="45">
        <v>9.6883870967742008E-2</v>
      </c>
      <c r="O135" s="46">
        <v>24950.000000000007</v>
      </c>
      <c r="P135" s="47">
        <v>1</v>
      </c>
      <c r="Q135" s="48">
        <v>20000</v>
      </c>
      <c r="R135" s="47">
        <v>0.16</v>
      </c>
      <c r="S135" s="49" t="s">
        <v>28</v>
      </c>
      <c r="T135" s="50"/>
      <c r="U135" s="51"/>
      <c r="V135" s="52" t="str">
        <f t="shared" si="5"/>
        <v>可寧衛二</v>
      </c>
      <c r="W135" s="53">
        <v>3.0000000000000001E-3</v>
      </c>
    </row>
    <row r="136" spans="1:23" s="5" customFormat="1" ht="16.5" x14ac:dyDescent="0.25">
      <c r="A136" s="34" t="s">
        <v>217</v>
      </c>
      <c r="B136" s="35">
        <v>84422</v>
      </c>
      <c r="C136" s="35" t="s">
        <v>60</v>
      </c>
      <c r="D136" s="36" t="s">
        <v>69</v>
      </c>
      <c r="E136" s="37">
        <v>2.7199999999999998E-2</v>
      </c>
      <c r="F136" s="38">
        <v>2.3E-2</v>
      </c>
      <c r="G136" s="39">
        <v>46300</v>
      </c>
      <c r="H136" s="39">
        <v>46314</v>
      </c>
      <c r="I136" s="40">
        <v>1.0520547945205478</v>
      </c>
      <c r="J136" s="41">
        <v>100</v>
      </c>
      <c r="K136" s="42">
        <v>73.900000000000006</v>
      </c>
      <c r="L136" s="43">
        <v>0.96887686062246259</v>
      </c>
      <c r="M136" s="44">
        <v>120</v>
      </c>
      <c r="N136" s="45">
        <v>0.2385474860335198</v>
      </c>
      <c r="O136" s="46">
        <v>22720</v>
      </c>
      <c r="P136" s="47">
        <v>0.90375000000000005</v>
      </c>
      <c r="Q136" s="48">
        <v>4000</v>
      </c>
      <c r="R136" s="47">
        <v>0.31900000000000001</v>
      </c>
      <c r="S136" s="49" t="s">
        <v>27</v>
      </c>
      <c r="T136" s="50"/>
      <c r="U136" s="51"/>
      <c r="V136" s="52" t="str">
        <f t="shared" si="5"/>
        <v>威宏二KY</v>
      </c>
      <c r="W136" s="53">
        <v>3.0000000000000001E-3</v>
      </c>
    </row>
    <row r="137" spans="1:23" s="5" customFormat="1" ht="17.25" customHeight="1" x14ac:dyDescent="0.25">
      <c r="A137" s="34" t="s">
        <v>218</v>
      </c>
      <c r="B137" s="35">
        <v>84672</v>
      </c>
      <c r="C137" s="35" t="s">
        <v>60</v>
      </c>
      <c r="D137" s="36" t="s">
        <v>69</v>
      </c>
      <c r="E137" s="37">
        <v>4.1300000000000003E-2</v>
      </c>
      <c r="F137" s="38">
        <v>2.3E-2</v>
      </c>
      <c r="G137" s="39">
        <v>46524</v>
      </c>
      <c r="H137" s="39">
        <v>46537</v>
      </c>
      <c r="I137" s="40">
        <v>1.6630136986301369</v>
      </c>
      <c r="J137" s="41">
        <v>100</v>
      </c>
      <c r="K137" s="42">
        <v>191.4</v>
      </c>
      <c r="L137" s="43">
        <v>0.87513061650992685</v>
      </c>
      <c r="M137" s="44">
        <v>119.8</v>
      </c>
      <c r="N137" s="45">
        <v>0.36893850746268658</v>
      </c>
      <c r="O137" s="46">
        <v>23930</v>
      </c>
      <c r="P137" s="47">
        <v>0.55238095238095242</v>
      </c>
      <c r="Q137" s="48">
        <v>2100</v>
      </c>
      <c r="R137" s="47">
        <v>0.61199999999999999</v>
      </c>
      <c r="S137" s="49" t="s">
        <v>27</v>
      </c>
      <c r="T137" s="50"/>
      <c r="U137" s="51"/>
      <c r="V137" s="52" t="str">
        <f t="shared" si="5"/>
        <v>波力二KY</v>
      </c>
      <c r="W137" s="53">
        <v>3.0000000000000001E-3</v>
      </c>
    </row>
    <row r="138" spans="1:23" s="5" customFormat="1" ht="17.25" customHeight="1" x14ac:dyDescent="0.25">
      <c r="A138" s="34" t="s">
        <v>219</v>
      </c>
      <c r="B138" s="35">
        <v>84732</v>
      </c>
      <c r="C138" s="35" t="s">
        <v>71</v>
      </c>
      <c r="D138" s="36" t="s">
        <v>69</v>
      </c>
      <c r="E138" s="37">
        <v>2.2799999999999997E-2</v>
      </c>
      <c r="F138" s="38">
        <v>3.2500000000000001E-2</v>
      </c>
      <c r="G138" s="39">
        <v>46279</v>
      </c>
      <c r="H138" s="39">
        <v>46293</v>
      </c>
      <c r="I138" s="40">
        <v>0.9945205479452055</v>
      </c>
      <c r="J138" s="41">
        <v>101.26</v>
      </c>
      <c r="K138" s="42">
        <v>34.1</v>
      </c>
      <c r="L138" s="43">
        <v>1.0513196480938416</v>
      </c>
      <c r="M138" s="44">
        <v>110</v>
      </c>
      <c r="N138" s="45">
        <v>4.6304044630404523E-2</v>
      </c>
      <c r="O138" s="46">
        <v>12280</v>
      </c>
      <c r="P138" s="47">
        <v>0.25580000000000003</v>
      </c>
      <c r="Q138" s="48">
        <v>10000</v>
      </c>
      <c r="R138" s="47">
        <v>0.35699999999999998</v>
      </c>
      <c r="S138" s="49" t="s">
        <v>28</v>
      </c>
      <c r="T138" s="50" t="s">
        <v>3</v>
      </c>
      <c r="U138" s="51"/>
      <c r="V138" s="52" t="str">
        <f t="shared" si="5"/>
        <v>山林水二</v>
      </c>
      <c r="W138" s="53">
        <v>3.0000000000000001E-3</v>
      </c>
    </row>
    <row r="139" spans="1:23" s="5" customFormat="1" ht="17.25" customHeight="1" x14ac:dyDescent="0.25">
      <c r="A139" s="34" t="s">
        <v>220</v>
      </c>
      <c r="B139" s="35">
        <v>84881</v>
      </c>
      <c r="C139" s="35" t="s">
        <v>221</v>
      </c>
      <c r="D139" s="36" t="s">
        <v>67</v>
      </c>
      <c r="E139" s="37">
        <v>3.1099999999999999E-2</v>
      </c>
      <c r="F139" s="38">
        <v>2.3E-2</v>
      </c>
      <c r="G139" s="39">
        <v>46363</v>
      </c>
      <c r="H139" s="39">
        <v>46375</v>
      </c>
      <c r="I139" s="40">
        <v>1.2191780821917808</v>
      </c>
      <c r="J139" s="41">
        <v>100</v>
      </c>
      <c r="K139" s="42">
        <v>18.399999999999999</v>
      </c>
      <c r="L139" s="43">
        <v>0.625</v>
      </c>
      <c r="M139" s="44">
        <v>99.7</v>
      </c>
      <c r="N139" s="45">
        <v>0.59520000000000006</v>
      </c>
      <c r="O139" s="46">
        <v>2810.0000000000027</v>
      </c>
      <c r="P139" s="47">
        <v>1</v>
      </c>
      <c r="Q139" s="48">
        <v>3000</v>
      </c>
      <c r="R139" s="47">
        <v>0.24</v>
      </c>
      <c r="S139" s="49" t="s">
        <v>27</v>
      </c>
      <c r="T139" s="50"/>
      <c r="U139" s="51"/>
      <c r="V139" s="52" t="str">
        <f t="shared" si="5"/>
        <v>吉源一KY</v>
      </c>
      <c r="W139" s="53">
        <v>3.0000000000000001E-3</v>
      </c>
    </row>
    <row r="140" spans="1:23" s="5" customFormat="1" ht="17.25" customHeight="1" x14ac:dyDescent="0.25">
      <c r="A140" s="34" t="s">
        <v>222</v>
      </c>
      <c r="B140" s="35">
        <v>84891</v>
      </c>
      <c r="C140" s="35" t="s">
        <v>223</v>
      </c>
      <c r="D140" s="36" t="s">
        <v>69</v>
      </c>
      <c r="E140" s="37">
        <v>2.8499999999999998E-2</v>
      </c>
      <c r="F140" s="38">
        <v>2.3E-2</v>
      </c>
      <c r="G140" s="39">
        <v>46351</v>
      </c>
      <c r="H140" s="39">
        <v>46365</v>
      </c>
      <c r="I140" s="40">
        <v>1.1917808219178083</v>
      </c>
      <c r="J140" s="41">
        <v>100.20010000000001</v>
      </c>
      <c r="K140" s="42">
        <v>28.8</v>
      </c>
      <c r="L140" s="43">
        <v>1.3680555555555558</v>
      </c>
      <c r="M140" s="44">
        <v>147.9</v>
      </c>
      <c r="N140" s="45">
        <v>8.109644670050753E-2</v>
      </c>
      <c r="O140" s="46">
        <v>50750.000000000007</v>
      </c>
      <c r="P140" s="47">
        <v>0.64175696660671533</v>
      </c>
      <c r="Q140" s="48">
        <v>3329.9209999999998</v>
      </c>
      <c r="R140" s="47">
        <v>0.34100000000000003</v>
      </c>
      <c r="S140" s="49" t="s">
        <v>27</v>
      </c>
      <c r="T140" s="50"/>
      <c r="U140" s="51"/>
      <c r="V140" s="52" t="str">
        <f t="shared" si="5"/>
        <v>三貝德一</v>
      </c>
      <c r="W140" s="53">
        <v>3.0000000000000001E-3</v>
      </c>
    </row>
    <row r="141" spans="1:23" s="5" customFormat="1" ht="17.25" customHeight="1" x14ac:dyDescent="0.25">
      <c r="A141" s="34" t="s">
        <v>224</v>
      </c>
      <c r="B141" s="35">
        <v>89277</v>
      </c>
      <c r="C141" s="35" t="s">
        <v>75</v>
      </c>
      <c r="D141" s="36" t="s">
        <v>67</v>
      </c>
      <c r="E141" s="37">
        <v>3.1099999999999999E-2</v>
      </c>
      <c r="F141" s="38">
        <v>2.3E-2</v>
      </c>
      <c r="G141" s="39">
        <v>46601</v>
      </c>
      <c r="H141" s="39">
        <v>46615</v>
      </c>
      <c r="I141" s="40">
        <v>1.8767123287671232</v>
      </c>
      <c r="J141" s="41">
        <v>101.50749999999999</v>
      </c>
      <c r="K141" s="42">
        <v>50.79</v>
      </c>
      <c r="L141" s="43">
        <v>0.75802323291986629</v>
      </c>
      <c r="M141" s="44">
        <v>109.5</v>
      </c>
      <c r="N141" s="45">
        <v>0.44454675324675302</v>
      </c>
      <c r="O141" s="46">
        <v>12609.999999999998</v>
      </c>
      <c r="P141" s="47">
        <v>1</v>
      </c>
      <c r="Q141" s="48">
        <v>5900</v>
      </c>
      <c r="R141" s="47">
        <v>0.442</v>
      </c>
      <c r="S141" s="49" t="s">
        <v>27</v>
      </c>
      <c r="T141" s="50"/>
      <c r="U141" s="51"/>
      <c r="V141" s="52" t="str">
        <f t="shared" si="5"/>
        <v>北基七</v>
      </c>
      <c r="W141" s="53">
        <v>3.0000000000000001E-3</v>
      </c>
    </row>
    <row r="142" spans="1:23" s="5" customFormat="1" ht="17.25" customHeight="1" x14ac:dyDescent="0.25">
      <c r="A142" s="34" t="s">
        <v>225</v>
      </c>
      <c r="B142" s="35">
        <v>89964</v>
      </c>
      <c r="C142" s="35" t="s">
        <v>71</v>
      </c>
      <c r="D142" s="36" t="s">
        <v>78</v>
      </c>
      <c r="E142" s="37">
        <v>3.7000000000000005E-2</v>
      </c>
      <c r="F142" s="38">
        <v>3.5000000000000003E-2</v>
      </c>
      <c r="G142" s="39">
        <v>46349</v>
      </c>
      <c r="H142" s="39">
        <v>46362</v>
      </c>
      <c r="I142" s="40">
        <v>1.1835616438356165</v>
      </c>
      <c r="J142" s="41">
        <v>100.75190000000001</v>
      </c>
      <c r="K142" s="42">
        <v>233.5</v>
      </c>
      <c r="L142" s="43">
        <v>1.3297644539614561</v>
      </c>
      <c r="M142" s="44">
        <v>137.5</v>
      </c>
      <c r="N142" s="45">
        <v>3.4017713365539479E-2</v>
      </c>
      <c r="O142" s="46">
        <v>41200</v>
      </c>
      <c r="P142" s="47">
        <v>0.32179999999999997</v>
      </c>
      <c r="Q142" s="48">
        <v>10000</v>
      </c>
      <c r="R142" s="47">
        <v>0.54</v>
      </c>
      <c r="S142" s="49" t="s">
        <v>28</v>
      </c>
      <c r="T142" s="50"/>
      <c r="U142" s="51"/>
      <c r="V142" s="52" t="str">
        <f t="shared" si="5"/>
        <v>高力四</v>
      </c>
      <c r="W142" s="53">
        <v>3.0000000000000001E-3</v>
      </c>
    </row>
    <row r="143" spans="1:23" s="5" customFormat="1" ht="17.25" customHeight="1" x14ac:dyDescent="0.25">
      <c r="A143" s="34" t="s">
        <v>226</v>
      </c>
      <c r="B143" s="35">
        <v>99392</v>
      </c>
      <c r="C143" s="35" t="s">
        <v>71</v>
      </c>
      <c r="D143" s="36" t="s">
        <v>73</v>
      </c>
      <c r="E143" s="37">
        <v>6.1300000000000007E-2</v>
      </c>
      <c r="F143" s="38">
        <v>2.8000000000000001E-2</v>
      </c>
      <c r="G143" s="39">
        <v>46675</v>
      </c>
      <c r="H143" s="39">
        <v>46689</v>
      </c>
      <c r="I143" s="40">
        <v>2.0794520547945203</v>
      </c>
      <c r="J143" s="41">
        <v>100</v>
      </c>
      <c r="K143" s="42">
        <v>161.19999999999999</v>
      </c>
      <c r="L143" s="43">
        <v>0.78784119106699757</v>
      </c>
      <c r="M143" s="44">
        <v>104.85</v>
      </c>
      <c r="N143" s="45">
        <v>0.33085196850393678</v>
      </c>
      <c r="O143" s="46">
        <v>10979.999999999995</v>
      </c>
      <c r="P143" s="47">
        <v>0.99997499999999995</v>
      </c>
      <c r="Q143" s="48">
        <v>40000</v>
      </c>
      <c r="R143" s="47">
        <v>0.14299999999999999</v>
      </c>
      <c r="S143" s="49" t="s">
        <v>28</v>
      </c>
      <c r="T143" s="50"/>
      <c r="U143" s="51"/>
      <c r="V143" s="52" t="str">
        <f t="shared" si="5"/>
        <v>宏全二</v>
      </c>
      <c r="W143" s="53">
        <v>3.0000000000000001E-3</v>
      </c>
    </row>
    <row r="144" spans="1:23" s="5" customFormat="1" ht="17.25" customHeight="1" x14ac:dyDescent="0.25">
      <c r="A144" s="56"/>
      <c r="B144" s="32"/>
      <c r="C144" s="57"/>
      <c r="D144" s="56"/>
      <c r="E144" s="56"/>
      <c r="F144" s="58"/>
      <c r="G144" s="56" t="s">
        <v>3</v>
      </c>
      <c r="H144" s="56"/>
      <c r="I144" s="19"/>
      <c r="J144" s="20"/>
      <c r="K144" s="20"/>
      <c r="L144" s="58"/>
      <c r="M144" s="58"/>
      <c r="N144" s="58"/>
      <c r="O144" s="58"/>
      <c r="P144" s="58"/>
      <c r="Q144" s="59"/>
      <c r="R144" s="58"/>
      <c r="S144" s="60"/>
      <c r="T144" s="61"/>
      <c r="U144" s="51"/>
      <c r="W144" s="4"/>
    </row>
    <row r="145" spans="1:23" s="5" customFormat="1" ht="17.25" customHeight="1" x14ac:dyDescent="0.25">
      <c r="A145" s="56" t="s">
        <v>36</v>
      </c>
      <c r="B145" s="32"/>
      <c r="C145" s="57"/>
      <c r="D145" s="56"/>
      <c r="E145" s="56"/>
      <c r="F145" s="58"/>
      <c r="G145" s="56" t="s">
        <v>3</v>
      </c>
      <c r="H145" s="56"/>
      <c r="I145" s="19"/>
      <c r="J145" s="20"/>
      <c r="K145" s="20"/>
      <c r="L145" s="58"/>
      <c r="M145" s="58"/>
      <c r="N145" s="58"/>
      <c r="O145" s="58"/>
      <c r="P145" s="58"/>
      <c r="Q145" s="59"/>
      <c r="R145" s="58"/>
      <c r="S145" s="60"/>
      <c r="T145" s="61"/>
      <c r="U145" s="14"/>
      <c r="W145" s="4"/>
    </row>
    <row r="146" spans="1:23" s="5" customFormat="1" ht="8.1" customHeight="1" x14ac:dyDescent="0.25">
      <c r="A146" s="56"/>
      <c r="B146" s="32"/>
      <c r="C146" s="57"/>
      <c r="D146" s="56"/>
      <c r="E146" s="56"/>
      <c r="F146" s="58" t="s">
        <v>3</v>
      </c>
      <c r="G146" s="56"/>
      <c r="H146" s="56"/>
      <c r="I146" s="19"/>
      <c r="J146" s="20"/>
      <c r="K146" s="20"/>
      <c r="L146" s="58"/>
      <c r="M146" s="58"/>
      <c r="N146" s="58"/>
      <c r="O146" s="58"/>
      <c r="P146" s="58"/>
      <c r="Q146" s="59"/>
      <c r="R146" s="58"/>
      <c r="S146" s="60"/>
      <c r="T146" s="61"/>
      <c r="U146" s="14"/>
      <c r="W146" s="4"/>
    </row>
    <row r="147" spans="1:23" s="5" customFormat="1" ht="17.25" customHeight="1" x14ac:dyDescent="0.25">
      <c r="A147" s="63"/>
      <c r="B147" s="64" t="s">
        <v>37</v>
      </c>
      <c r="C147" s="64" t="s">
        <v>38</v>
      </c>
      <c r="D147" s="100" t="s">
        <v>39</v>
      </c>
      <c r="E147" s="100"/>
      <c r="F147" s="65" t="s">
        <v>40</v>
      </c>
      <c r="G147" s="100" t="s">
        <v>41</v>
      </c>
      <c r="H147" s="100"/>
      <c r="I147" s="100" t="s">
        <v>42</v>
      </c>
      <c r="J147" s="100"/>
      <c r="K147" s="58"/>
      <c r="L147" s="58"/>
      <c r="M147" s="58"/>
      <c r="N147" s="58"/>
      <c r="O147" s="58"/>
      <c r="P147" s="60"/>
      <c r="Q147" s="66"/>
      <c r="R147" s="61"/>
      <c r="S147" s="61"/>
      <c r="T147" s="67"/>
      <c r="U147" s="4"/>
      <c r="V147" s="4"/>
      <c r="W147" s="3"/>
    </row>
    <row r="148" spans="1:23" s="5" customFormat="1" ht="17.25" customHeight="1" x14ac:dyDescent="0.25">
      <c r="A148" s="68" t="s">
        <v>43</v>
      </c>
      <c r="B148" s="69">
        <v>41684</v>
      </c>
      <c r="C148" s="70" t="str">
        <f>VLOOKUP(B148,B1:W144,21,FALSE)</f>
        <v>醣聯四</v>
      </c>
      <c r="D148" s="96">
        <f>VLOOKUP(B148,B1:W144,5,FALSE)</f>
        <v>2.3E-2</v>
      </c>
      <c r="E148" s="96"/>
      <c r="F148" s="71">
        <f>ROUND(VLOOKUP(B148,B1:W144,4,FALSE),4)</f>
        <v>7.1400000000000005E-2</v>
      </c>
      <c r="G148" s="97">
        <f>VLOOKUP(B148,B:S,12,FALSE)</f>
        <v>115.85</v>
      </c>
      <c r="H148" s="97"/>
      <c r="I148" s="98">
        <f>(F148+(G148/100-1))*100000</f>
        <v>22989.999999999989</v>
      </c>
      <c r="J148" s="98"/>
      <c r="K148" s="72" t="s">
        <v>44</v>
      </c>
      <c r="L148" s="58"/>
      <c r="M148" s="58"/>
      <c r="N148" s="58"/>
      <c r="O148" s="58"/>
      <c r="P148" s="60"/>
      <c r="Q148" s="66"/>
      <c r="R148" s="61"/>
      <c r="S148" s="61"/>
      <c r="T148" s="67"/>
      <c r="U148" s="4"/>
      <c r="V148" s="4"/>
      <c r="W148" s="3"/>
    </row>
    <row r="149" spans="1:23" s="5" customFormat="1" ht="17.25" customHeight="1" x14ac:dyDescent="0.25">
      <c r="A149" s="56"/>
      <c r="B149" s="32"/>
      <c r="C149" s="57"/>
      <c r="D149" s="56"/>
      <c r="E149" s="56"/>
      <c r="F149" s="58"/>
      <c r="G149" s="56"/>
      <c r="H149" s="56"/>
      <c r="I149" s="19"/>
      <c r="J149" s="20"/>
      <c r="K149" s="20"/>
      <c r="L149" s="58"/>
      <c r="M149" s="58"/>
      <c r="N149" s="58"/>
      <c r="O149" s="58"/>
      <c r="P149" s="58"/>
      <c r="Q149" s="59"/>
      <c r="R149" s="58"/>
      <c r="S149" s="60"/>
      <c r="T149" s="61"/>
      <c r="U149" s="14"/>
      <c r="W149" s="4"/>
    </row>
    <row r="150" spans="1:23" s="5" customFormat="1" ht="17.25" customHeight="1" x14ac:dyDescent="0.25">
      <c r="A150" s="56" t="s">
        <v>45</v>
      </c>
      <c r="B150" s="32"/>
      <c r="C150" s="57"/>
      <c r="D150" s="56"/>
      <c r="E150" s="56"/>
      <c r="F150" s="58"/>
      <c r="G150" s="56"/>
      <c r="H150" s="56"/>
      <c r="I150" s="19"/>
      <c r="J150" s="20"/>
      <c r="L150" s="58"/>
      <c r="M150" s="58"/>
      <c r="N150" s="58"/>
      <c r="O150" s="58"/>
      <c r="P150" s="58"/>
      <c r="Q150" s="59"/>
      <c r="R150" s="58"/>
      <c r="S150" s="60"/>
      <c r="T150" s="61"/>
      <c r="U150" s="14"/>
      <c r="W150" s="4"/>
    </row>
    <row r="151" spans="1:23" ht="17.25" customHeight="1" x14ac:dyDescent="0.25">
      <c r="A151" s="56" t="s">
        <v>46</v>
      </c>
      <c r="C151" s="57"/>
      <c r="D151" s="56"/>
      <c r="E151" s="56"/>
      <c r="F151" s="73"/>
      <c r="G151" s="56"/>
      <c r="H151" s="56"/>
      <c r="I151" s="19"/>
      <c r="J151" s="20"/>
      <c r="K151" s="20"/>
      <c r="L151" s="73"/>
      <c r="M151" s="73"/>
      <c r="N151" s="73"/>
      <c r="O151" s="73"/>
      <c r="P151" s="73"/>
      <c r="Q151" s="74"/>
      <c r="R151" s="73"/>
      <c r="S151" s="60"/>
      <c r="T151" s="61"/>
      <c r="U151" s="14"/>
    </row>
    <row r="152" spans="1:23" ht="17.25" customHeight="1" x14ac:dyDescent="0.25">
      <c r="A152" s="56" t="s">
        <v>47</v>
      </c>
      <c r="C152" s="57"/>
      <c r="D152" s="56"/>
      <c r="E152" s="56"/>
      <c r="F152" s="73"/>
      <c r="G152" s="56"/>
      <c r="H152" s="56"/>
      <c r="I152" s="19"/>
      <c r="J152" s="20"/>
      <c r="K152" s="20"/>
      <c r="L152" s="73"/>
      <c r="M152" s="73"/>
      <c r="N152" s="73"/>
      <c r="O152" s="73"/>
      <c r="P152" s="73"/>
      <c r="Q152" s="74"/>
      <c r="R152" s="73"/>
      <c r="S152" s="60"/>
      <c r="T152" s="61"/>
      <c r="U152" s="14"/>
    </row>
    <row r="153" spans="1:23" ht="17.25" customHeight="1" x14ac:dyDescent="0.25">
      <c r="A153" s="75" t="s">
        <v>48</v>
      </c>
      <c r="C153" s="57"/>
      <c r="D153" s="56"/>
      <c r="E153" s="56"/>
      <c r="F153" s="73"/>
      <c r="G153" s="56"/>
      <c r="H153" s="56"/>
      <c r="I153" s="19"/>
      <c r="J153" s="20"/>
      <c r="K153" s="20"/>
      <c r="L153" s="73"/>
      <c r="M153" s="73"/>
      <c r="N153" s="73"/>
      <c r="O153" s="73"/>
      <c r="P153" s="73"/>
      <c r="Q153" s="74"/>
      <c r="R153" s="73"/>
      <c r="S153" s="60"/>
      <c r="T153" s="61"/>
      <c r="U153" s="14"/>
      <c r="W153" s="4"/>
    </row>
    <row r="154" spans="1:23" ht="17.25" customHeight="1" x14ac:dyDescent="0.25">
      <c r="A154" s="56" t="s">
        <v>49</v>
      </c>
      <c r="C154" s="57"/>
      <c r="D154" s="56"/>
      <c r="E154" s="56"/>
      <c r="F154" s="56"/>
      <c r="G154" s="56"/>
      <c r="H154" s="56"/>
      <c r="I154" s="19"/>
      <c r="J154" s="57"/>
      <c r="K154" s="57"/>
      <c r="L154" s="56"/>
      <c r="M154" s="56"/>
      <c r="N154" s="56"/>
      <c r="O154" s="56"/>
      <c r="P154" s="56"/>
      <c r="Q154" s="76"/>
      <c r="R154" s="56"/>
      <c r="S154" s="57"/>
      <c r="T154" s="10"/>
      <c r="U154" s="77"/>
      <c r="W154" s="4"/>
    </row>
    <row r="155" spans="1:23" ht="17.25" customHeight="1" x14ac:dyDescent="0.25">
      <c r="A155" s="56" t="s">
        <v>50</v>
      </c>
      <c r="B155" s="78"/>
      <c r="C155" s="78"/>
      <c r="D155" s="78"/>
      <c r="E155" s="78"/>
      <c r="F155" s="78"/>
      <c r="G155" s="78"/>
      <c r="H155" s="78"/>
      <c r="I155" s="79"/>
      <c r="J155" s="78"/>
      <c r="K155" s="78"/>
      <c r="L155" s="78"/>
      <c r="M155" s="78"/>
      <c r="N155" s="78"/>
      <c r="O155" s="78"/>
      <c r="P155" s="78"/>
      <c r="Q155" s="80"/>
      <c r="R155" s="78"/>
      <c r="S155" s="78"/>
      <c r="T155" s="81"/>
      <c r="U155" s="82"/>
      <c r="W155" s="4"/>
    </row>
    <row r="156" spans="1:23" ht="17.25" customHeight="1" x14ac:dyDescent="0.25">
      <c r="A156" s="78" t="s">
        <v>3</v>
      </c>
      <c r="B156" s="78"/>
      <c r="C156" s="78"/>
      <c r="D156" s="78"/>
      <c r="E156" s="78"/>
      <c r="F156" s="78"/>
      <c r="G156" s="78"/>
      <c r="H156" s="78"/>
      <c r="I156" s="79"/>
      <c r="J156" s="78"/>
      <c r="K156" s="78"/>
      <c r="L156" s="78"/>
      <c r="M156" s="78"/>
      <c r="N156" s="78"/>
      <c r="O156" s="78"/>
      <c r="P156" s="78"/>
      <c r="Q156" s="80"/>
      <c r="R156" s="78"/>
      <c r="S156" s="78"/>
      <c r="T156" s="81"/>
      <c r="U156" s="82"/>
      <c r="W156" s="4"/>
    </row>
    <row r="157" spans="1:23" ht="17.25" customHeight="1" x14ac:dyDescent="0.25">
      <c r="A157" s="56" t="s">
        <v>51</v>
      </c>
      <c r="C157" s="57"/>
      <c r="D157" s="56"/>
      <c r="E157" s="56"/>
      <c r="F157" s="73"/>
      <c r="G157" s="56"/>
      <c r="H157" s="56"/>
      <c r="I157" s="19"/>
      <c r="J157" s="20"/>
      <c r="K157" s="20"/>
      <c r="L157" s="73"/>
      <c r="M157" s="73"/>
      <c r="N157" s="73"/>
      <c r="O157" s="73"/>
      <c r="P157" s="73"/>
      <c r="Q157" s="74"/>
      <c r="R157" s="73"/>
      <c r="S157" s="60"/>
      <c r="T157" s="61"/>
      <c r="U157" s="14"/>
      <c r="W157" s="4"/>
    </row>
    <row r="158" spans="1:23" ht="17.25" customHeight="1" x14ac:dyDescent="0.25">
      <c r="A158" s="6" t="s">
        <v>52</v>
      </c>
      <c r="C158" s="57"/>
      <c r="D158" s="56"/>
      <c r="E158" s="56"/>
      <c r="F158" s="73"/>
      <c r="G158" s="56"/>
      <c r="H158" s="56"/>
      <c r="I158" s="19"/>
      <c r="J158" s="20"/>
      <c r="K158" s="20"/>
      <c r="L158" s="73"/>
      <c r="M158" s="73"/>
      <c r="N158" s="73"/>
      <c r="O158" s="73"/>
      <c r="P158" s="73"/>
      <c r="Q158" s="74"/>
      <c r="R158" s="73"/>
      <c r="S158" s="60"/>
      <c r="T158" s="61"/>
      <c r="U158" s="14"/>
      <c r="W158" s="4"/>
    </row>
    <row r="159" spans="1:23" s="89" customFormat="1" ht="17.25" customHeight="1" x14ac:dyDescent="0.25">
      <c r="A159" s="83" t="s">
        <v>53</v>
      </c>
      <c r="B159" s="84"/>
      <c r="C159" s="84"/>
      <c r="D159" s="84"/>
      <c r="E159" s="84"/>
      <c r="F159" s="84"/>
      <c r="G159" s="84"/>
      <c r="H159" s="84"/>
      <c r="I159" s="85"/>
      <c r="J159" s="84"/>
      <c r="K159" s="84"/>
      <c r="L159" s="84"/>
      <c r="M159" s="84"/>
      <c r="N159" s="84"/>
      <c r="O159" s="84"/>
      <c r="P159" s="84"/>
      <c r="Q159" s="86"/>
      <c r="R159" s="84"/>
      <c r="S159" s="84"/>
      <c r="T159" s="87"/>
      <c r="U159" s="88"/>
      <c r="W159" s="90"/>
    </row>
    <row r="160" spans="1:23" ht="17.25" customHeight="1" x14ac:dyDescent="0.25">
      <c r="A160" s="6" t="s">
        <v>54</v>
      </c>
      <c r="C160" s="57"/>
      <c r="D160" s="56"/>
      <c r="E160" s="56"/>
      <c r="F160" s="73"/>
      <c r="G160" s="56"/>
      <c r="H160" s="56"/>
      <c r="I160" s="19"/>
      <c r="J160" s="20"/>
      <c r="K160" s="20"/>
      <c r="L160" s="73"/>
      <c r="M160" s="73"/>
      <c r="N160" s="73"/>
      <c r="O160" s="73"/>
      <c r="P160" s="73"/>
      <c r="Q160" s="74"/>
      <c r="R160" s="73"/>
      <c r="S160" s="60"/>
      <c r="T160" s="61"/>
      <c r="U160" s="14"/>
      <c r="W160" s="4"/>
    </row>
    <row r="161" spans="1:23" ht="17.25" customHeight="1" x14ac:dyDescent="0.25">
      <c r="A161" s="6" t="s">
        <v>55</v>
      </c>
      <c r="C161" s="57"/>
      <c r="D161" s="56"/>
      <c r="E161" s="56"/>
      <c r="F161" s="73"/>
      <c r="G161" s="56"/>
      <c r="H161" s="56"/>
      <c r="I161" s="19"/>
      <c r="J161" s="20"/>
      <c r="K161" s="20"/>
      <c r="L161" s="73"/>
      <c r="M161" s="73"/>
      <c r="N161" s="73"/>
      <c r="O161" s="73"/>
      <c r="P161" s="73"/>
      <c r="Q161" s="74"/>
      <c r="R161" s="73"/>
      <c r="S161" s="60"/>
      <c r="T161" s="61"/>
      <c r="U161" s="14"/>
      <c r="W161" s="4"/>
    </row>
    <row r="162" spans="1:23" ht="17.25" customHeight="1" x14ac:dyDescent="0.25">
      <c r="A162" s="6" t="s">
        <v>56</v>
      </c>
      <c r="C162" s="57"/>
      <c r="D162" s="56"/>
      <c r="E162" s="56"/>
      <c r="F162" s="73"/>
      <c r="G162" s="56"/>
      <c r="H162" s="56"/>
      <c r="I162" s="19"/>
      <c r="J162" s="20"/>
      <c r="K162" s="20"/>
      <c r="L162" s="73"/>
      <c r="M162" s="73"/>
      <c r="N162" s="73"/>
      <c r="O162" s="73"/>
      <c r="P162" s="73"/>
      <c r="Q162" s="74"/>
      <c r="R162" s="73"/>
      <c r="S162" s="60"/>
      <c r="T162" s="61"/>
      <c r="U162" s="14"/>
      <c r="W162" s="4"/>
    </row>
    <row r="163" spans="1:23" s="89" customFormat="1" ht="17.25" customHeight="1" x14ac:dyDescent="0.25">
      <c r="A163" s="75" t="s">
        <v>57</v>
      </c>
      <c r="I163" s="91"/>
      <c r="Q163" s="92"/>
      <c r="T163" s="87"/>
      <c r="U163" s="88"/>
      <c r="W163" s="90"/>
    </row>
    <row r="164" spans="1:23" s="89" customFormat="1" ht="17.25" customHeight="1" x14ac:dyDescent="0.25">
      <c r="A164" s="75" t="s">
        <v>58</v>
      </c>
      <c r="I164" s="91"/>
      <c r="Q164" s="92"/>
      <c r="T164" s="87"/>
      <c r="U164" s="88"/>
      <c r="W164" s="90"/>
    </row>
    <row r="165" spans="1:23" ht="17.25" customHeight="1" x14ac:dyDescent="0.25">
      <c r="B165" s="6"/>
      <c r="C165" s="6"/>
      <c r="F165" s="6"/>
      <c r="J165" s="6"/>
      <c r="K165" s="6"/>
      <c r="L165" s="6"/>
      <c r="M165" s="6"/>
      <c r="N165" s="6"/>
      <c r="O165" s="6"/>
      <c r="P165" s="6"/>
      <c r="Q165" s="62"/>
      <c r="R165" s="6"/>
      <c r="S165" s="6"/>
      <c r="T165" s="11"/>
      <c r="U165" s="94"/>
      <c r="W165" s="6"/>
    </row>
  </sheetData>
  <autoFilter ref="A7:W145"/>
  <mergeCells count="9">
    <mergeCell ref="D148:E148"/>
    <mergeCell ref="G148:H148"/>
    <mergeCell ref="I148:J148"/>
    <mergeCell ref="A2:S2"/>
    <mergeCell ref="A3:S3"/>
    <mergeCell ref="A4:S4"/>
    <mergeCell ref="D147:E147"/>
    <mergeCell ref="G147:H147"/>
    <mergeCell ref="I147:J147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許乃方 ANDREA_HSU (Yuanta)</cp:lastModifiedBy>
  <dcterms:created xsi:type="dcterms:W3CDTF">2025-09-25T08:56:52Z</dcterms:created>
  <dcterms:modified xsi:type="dcterms:W3CDTF">2025-09-26T04:39:52Z</dcterms:modified>
</cp:coreProperties>
</file>