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金融交易部資產交換選擇權報價表!$A$7:$W$138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1" i="1" l="1"/>
  <c r="D141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F141" i="1"/>
  <c r="V25" i="1"/>
  <c r="C141" i="1" s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G141" i="1" l="1"/>
  <c r="I141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2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300國票3.25%
</t>
        </r>
      </text>
    </comment>
    <comment ref="V25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V34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V5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67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7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V7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92" authorId="0" shapeId="0">
      <text>
        <r>
          <rPr>
            <b/>
            <sz val="12"/>
            <color indexed="81"/>
            <rFont val="細明體"/>
            <family val="3"/>
            <charset val="136"/>
          </rPr>
          <t>中租100張4.25%</t>
        </r>
      </text>
    </comment>
    <comment ref="V95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97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99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華票利率3.25%</t>
        </r>
      </text>
    </comment>
    <comment ref="V104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5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16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18" authorId="0" shapeId="0">
      <text>
        <r>
          <rPr>
            <b/>
            <sz val="9"/>
            <color indexed="81"/>
            <rFont val="細明體"/>
            <family val="3"/>
            <charset val="136"/>
          </rPr>
          <t>兆票</t>
        </r>
      </text>
    </comment>
    <comment ref="V119" authorId="0" shapeId="0">
      <text>
        <r>
          <rPr>
            <b/>
            <sz val="9"/>
            <color indexed="81"/>
            <rFont val="細明體"/>
            <family val="3"/>
            <charset val="136"/>
          </rPr>
          <t>兆票</t>
        </r>
      </text>
    </comment>
    <comment ref="V120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34" authorId="0" shapeId="0">
      <text>
        <r>
          <rPr>
            <b/>
            <sz val="9"/>
            <color indexed="81"/>
            <rFont val="細明體"/>
            <family val="3"/>
            <charset val="136"/>
          </rPr>
          <t>大慶3.5%</t>
        </r>
      </text>
    </comment>
    <comment ref="V135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V136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41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<sst xmlns="http://schemas.openxmlformats.org/spreadsheetml/2006/main" count="580" uniqueCount="220">
  <si>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</si>
  <si>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</si>
  <si>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</si>
  <si>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</si>
  <si>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</si>
  <si>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</si>
  <si>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</si>
  <si>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</si>
  <si>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</si>
  <si>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</si>
  <si>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</si>
  <si>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</si>
  <si>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</si>
  <si>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</si>
  <si>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</si>
  <si>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</si>
  <si>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</si>
  <si>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</si>
  <si>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</si>
  <si>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</si>
  <si>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</si>
  <si>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</si>
  <si>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</si>
  <si>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</si>
  <si>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</si>
  <si>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</si>
  <si>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</si>
  <si>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</si>
  <si>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</si>
  <si>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</si>
  <si>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</si>
  <si>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</si>
  <si>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</si>
  <si>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大樹三</t>
    <phoneticPr fontId="9" type="noConversion"/>
  </si>
  <si>
    <t>南俊國際一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</si>
  <si>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</si>
  <si>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</si>
  <si>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</si>
  <si>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</si>
  <si>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</si>
  <si>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</si>
  <si>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</si>
  <si>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</si>
  <si>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</si>
  <si>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</si>
  <si>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</si>
  <si>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</si>
  <si>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</si>
  <si>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</si>
  <si>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</si>
  <si>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</si>
  <si>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</si>
  <si>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</si>
  <si>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</si>
  <si>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</si>
  <si>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</si>
  <si>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9.價格事件70元。</t>
    <phoneticPr fontId="8" type="noConversion"/>
  </si>
  <si>
    <t xml:space="preserve">10.最小承作及提解張數為10張或10張之整倍數。 </t>
    <phoneticPr fontId="9" type="noConversion"/>
  </si>
  <si>
    <t>上曜四</t>
  </si>
  <si>
    <t>有，台北富邦商業銀行股份有限公司</t>
  </si>
  <si>
    <t>8</t>
  </si>
  <si>
    <t>上曜六</t>
  </si>
  <si>
    <t>有，板信商業銀行股份有限公司</t>
  </si>
  <si>
    <t>三地開發一</t>
  </si>
  <si>
    <t>有，台中商業銀行股份有限公司</t>
  </si>
  <si>
    <t>聚隆四</t>
  </si>
  <si>
    <t>7</t>
  </si>
  <si>
    <t>三洋實業二</t>
  </si>
  <si>
    <t>亞力二</t>
  </si>
  <si>
    <t>無</t>
  </si>
  <si>
    <t>6</t>
  </si>
  <si>
    <t>中砂一</t>
  </si>
  <si>
    <t>4</t>
  </si>
  <si>
    <t>和勤四</t>
  </si>
  <si>
    <t>有，合作金庫商業銀行股份有限公司</t>
  </si>
  <si>
    <t>宏佳騰一</t>
  </si>
  <si>
    <t>有，台北富邦商業銀行</t>
  </si>
  <si>
    <t>5</t>
  </si>
  <si>
    <t>大亞五</t>
  </si>
  <si>
    <t>合世三</t>
  </si>
  <si>
    <t>有，華南商業銀行股份有限公司</t>
  </si>
  <si>
    <t>劍麟三</t>
  </si>
  <si>
    <t>汎德永業一</t>
  </si>
  <si>
    <t>汎德永業二</t>
  </si>
  <si>
    <t>順德一</t>
  </si>
  <si>
    <t>金像電二</t>
  </si>
  <si>
    <t>台光電六</t>
  </si>
  <si>
    <t>3</t>
  </si>
  <si>
    <t>偉詮電一</t>
  </si>
  <si>
    <t>美律四</t>
  </si>
  <si>
    <t>光群雷六</t>
  </si>
  <si>
    <t>鉅祥二</t>
  </si>
  <si>
    <t>皇普三</t>
  </si>
  <si>
    <t>有，元大商業銀行股份有限公司</t>
  </si>
  <si>
    <t>華航七</t>
  </si>
  <si>
    <t>王品一</t>
  </si>
  <si>
    <t>揚秦一</t>
  </si>
  <si>
    <t>聯發國際一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</si>
  <si>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</si>
  <si>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</si>
  <si>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</si>
  <si>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</si>
  <si>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</si>
  <si>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</si>
  <si>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及成四</t>
  </si>
  <si>
    <t>有，陽信商業銀行股份有限公司</t>
  </si>
  <si>
    <t>9</t>
  </si>
  <si>
    <t>弘塑一</t>
  </si>
  <si>
    <t>弘塑二</t>
  </si>
  <si>
    <t>虹冠電一</t>
  </si>
  <si>
    <t>昇貿五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</si>
  <si>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</si>
  <si>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</si>
  <si>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</si>
  <si>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</si>
  <si>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</si>
  <si>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</si>
  <si>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</si>
  <si>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</si>
  <si>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</si>
  <si>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安勤三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</si>
  <si>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</si>
  <si>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</si>
  <si>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</si>
  <si>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</si>
  <si>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</si>
  <si>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</si>
  <si>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</si>
  <si>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凡甲七</t>
  </si>
  <si>
    <t>兆利二</t>
  </si>
  <si>
    <t>兆利三</t>
  </si>
  <si>
    <t>辛耘一</t>
  </si>
  <si>
    <t>閎康一</t>
  </si>
  <si>
    <t>碩天三</t>
  </si>
  <si>
    <t>健策四</t>
  </si>
  <si>
    <t>健策五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</si>
  <si>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</si>
  <si>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</si>
  <si>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</si>
  <si>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</si>
  <si>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</si>
  <si>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</si>
  <si>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晟德六</t>
  </si>
  <si>
    <t>有，永豐商業銀行股份有限公司忠孝分公司</t>
  </si>
  <si>
    <t>聯合五</t>
  </si>
  <si>
    <t>承業醫五</t>
  </si>
  <si>
    <t>三圓三</t>
  </si>
  <si>
    <t>廣越二</t>
  </si>
  <si>
    <t>全球傳動一</t>
  </si>
  <si>
    <t>氣立四</t>
  </si>
  <si>
    <t>有，彰化商業銀行</t>
  </si>
  <si>
    <t>康普三</t>
  </si>
  <si>
    <t>有，彰化商業銀行股份有限公司</t>
  </si>
  <si>
    <t>正文六</t>
  </si>
  <si>
    <t>華星光三</t>
  </si>
  <si>
    <t>華星光四</t>
  </si>
  <si>
    <t>雷笛克光學三</t>
  </si>
  <si>
    <t>智晶一</t>
  </si>
  <si>
    <t>100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</si>
  <si>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</si>
  <si>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</si>
  <si>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</si>
  <si>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</si>
  <si>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</si>
  <si>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</si>
  <si>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</si>
  <si>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</si>
  <si>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</si>
  <si>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</si>
  <si>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</si>
  <si>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</si>
  <si>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創惟一</t>
  </si>
  <si>
    <t>松上五</t>
  </si>
  <si>
    <t>達麗七</t>
  </si>
  <si>
    <t>大豐電三</t>
  </si>
  <si>
    <t>萬潤五</t>
  </si>
  <si>
    <t>豐藝四</t>
  </si>
  <si>
    <t>帆宣五</t>
  </si>
  <si>
    <t>佳必琪三</t>
  </si>
  <si>
    <t>旺矽五</t>
  </si>
  <si>
    <t>台郡五</t>
  </si>
  <si>
    <t>台郡六</t>
  </si>
  <si>
    <t>佳邦三</t>
  </si>
  <si>
    <t>良維十</t>
  </si>
  <si>
    <t>樺漢五</t>
  </si>
  <si>
    <t>易發一</t>
  </si>
  <si>
    <t>有，上海商業儲蓄銀行股份有限公司</t>
  </si>
  <si>
    <t>光聖一</t>
  </si>
  <si>
    <t>保瑞三</t>
  </si>
  <si>
    <t>易華電一</t>
  </si>
  <si>
    <t>鼎基一</t>
  </si>
  <si>
    <t>台灣銘板一</t>
  </si>
  <si>
    <t>萬年清一</t>
  </si>
  <si>
    <t>嘉基二</t>
  </si>
  <si>
    <t>龍德造船一</t>
  </si>
  <si>
    <t>志強一KY</t>
  </si>
  <si>
    <t>平和環保一創</t>
  </si>
  <si>
    <t>騰雲一</t>
  </si>
  <si>
    <t>騰雲二</t>
  </si>
  <si>
    <t>汎銓一</t>
  </si>
  <si>
    <t>錼創科技一KY創</t>
  </si>
  <si>
    <t>有，中國信託商業銀行</t>
  </si>
  <si>
    <t>泓德能源二</t>
  </si>
  <si>
    <t>博智一</t>
  </si>
  <si>
    <t>朋程一</t>
  </si>
  <si>
    <t>群聯二</t>
  </si>
  <si>
    <t>福貞三KY</t>
  </si>
  <si>
    <t>有，玉山商業銀行股份有限公司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</si>
  <si>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</si>
  <si>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</si>
  <si>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</si>
  <si>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</si>
  <si>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</si>
  <si>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</si>
  <si>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</si>
  <si>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</si>
  <si>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</si>
  <si>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</si>
  <si>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鈺齊六KY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</si>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</sst>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(* #,##0.00_);_(* \(#,##0.00\);_(* &quot;-&quot;??_);_(@_)"/>
    <numFmt numFmtId="177" formatCode="_(* #,##0_);_(* \(#,##0\);_(* &quot;-&quot;??_);_(@_)"/>
    <numFmt numFmtId="179" formatCode="0.00_);[Red]\(0.00\)"/>
    <numFmt numFmtId="180" formatCode="yyyy/mm/dd"/>
    <numFmt numFmtId="181" formatCode="0.0000_ "/>
    <numFmt numFmtId="182" formatCode="0.00_ "/>
    <numFmt numFmtId="183" formatCode="#,##0_ "/>
    <numFmt numFmtId="186" formatCode="0_ "/>
  </numFmts>
  <fonts count="27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12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6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02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177" fontId="2" fillId="0" borderId="0" xfId="1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9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horizontal="left" vertical="center"/>
      <protection hidden="1"/>
    </xf>
    <xf numFmtId="177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2" applyFont="1" applyFill="1" applyBorder="1" applyAlignment="1" applyProtection="1">
      <alignment horizontal="left" vertical="center"/>
      <protection hidden="1"/>
    </xf>
    <xf numFmtId="0" fontId="12" fillId="2" borderId="1" xfId="2" applyFont="1" applyFill="1" applyBorder="1" applyAlignment="1" applyProtection="1">
      <alignment horizontal="center" vertical="center"/>
      <protection hidden="1"/>
    </xf>
    <xf numFmtId="49" fontId="12" fillId="2" borderId="1" xfId="2" applyNumberFormat="1" applyFont="1" applyFill="1" applyBorder="1" applyAlignment="1" applyProtection="1">
      <alignment horizontal="left" vertical="center"/>
      <protection hidden="1"/>
    </xf>
    <xf numFmtId="179" fontId="12" fillId="2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2" applyFont="1" applyFill="1" applyBorder="1" applyAlignment="1" applyProtection="1">
      <alignment horizontal="left" vertical="center" wrapText="1"/>
      <protection hidden="1"/>
    </xf>
    <xf numFmtId="177" fontId="12" fillId="2" borderId="1" xfId="1" applyNumberFormat="1" applyFont="1" applyFill="1" applyBorder="1" applyAlignment="1" applyProtection="1">
      <alignment horizontal="left" vertical="center"/>
      <protection hidden="1"/>
    </xf>
    <xf numFmtId="49" fontId="13" fillId="2" borderId="1" xfId="2" applyNumberFormat="1" applyFont="1" applyFill="1" applyBorder="1" applyAlignment="1" applyProtection="1">
      <alignment horizontal="center" vertical="center"/>
      <protection hidden="1"/>
    </xf>
    <xf numFmtId="14" fontId="13" fillId="2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180" fontId="2" fillId="0" borderId="1" xfId="3" applyNumberFormat="1" applyFont="1" applyFill="1" applyBorder="1" applyAlignment="1">
      <alignment horizontal="center" vertical="center" wrapText="1"/>
    </xf>
    <xf numFmtId="179" fontId="2" fillId="0" borderId="1" xfId="2" applyNumberFormat="1" applyFont="1" applyFill="1" applyBorder="1" applyAlignment="1" applyProtection="1">
      <alignment horizontal="center" vertical="center"/>
      <protection hidden="1"/>
    </xf>
    <xf numFmtId="181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0" fontId="5" fillId="0" borderId="1" xfId="3" applyNumberFormat="1" applyFont="1" applyFill="1" applyBorder="1" applyAlignment="1">
      <alignment horizontal="right" vertical="center"/>
    </xf>
    <xf numFmtId="182" fontId="5" fillId="0" borderId="1" xfId="3" applyNumberFormat="1" applyFont="1" applyFill="1" applyBorder="1" applyAlignment="1">
      <alignment horizontal="right" vertical="center"/>
    </xf>
    <xf numFmtId="9" fontId="5" fillId="0" borderId="1" xfId="3" applyNumberFormat="1" applyFont="1" applyFill="1" applyBorder="1" applyAlignment="1">
      <alignment horizontal="right" vertical="center"/>
    </xf>
    <xf numFmtId="9" fontId="2" fillId="0" borderId="1" xfId="3" applyNumberFormat="1" applyFont="1" applyFill="1" applyBorder="1" applyAlignment="1">
      <alignment horizontal="right" vertical="center" wrapText="1"/>
    </xf>
    <xf numFmtId="177" fontId="2" fillId="0" borderId="1" xfId="1" applyNumberFormat="1" applyFont="1" applyFill="1" applyBorder="1" applyAlignment="1">
      <alignment horizontal="right" vertical="center" wrapText="1"/>
    </xf>
    <xf numFmtId="183" fontId="2" fillId="0" borderId="1" xfId="3" applyNumberFormat="1" applyFont="1" applyFill="1" applyBorder="1" applyAlignment="1">
      <alignment horizontal="left" vertical="center" wrapText="1"/>
    </xf>
    <xf numFmtId="183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left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6" fillId="0" borderId="0" xfId="3" applyNumberFormat="1" applyFont="1" applyFill="1" applyBorder="1" applyAlignment="1">
      <alignment horizontal="right" vertical="center"/>
    </xf>
    <xf numFmtId="177" fontId="16" fillId="0" borderId="0" xfId="1" applyNumberFormat="1" applyFont="1" applyFill="1" applyBorder="1" applyAlignment="1">
      <alignment horizontal="right" vertical="center"/>
    </xf>
    <xf numFmtId="179" fontId="5" fillId="0" borderId="0" xfId="2" applyNumberFormat="1" applyFont="1" applyFill="1" applyBorder="1" applyAlignment="1" applyProtection="1">
      <alignment horizontal="left" vertical="center"/>
      <protection hidden="1"/>
    </xf>
    <xf numFmtId="179" fontId="5" fillId="0" borderId="0" xfId="2" applyNumberFormat="1" applyFont="1" applyFill="1" applyBorder="1" applyAlignment="1" applyProtection="1">
      <alignment horizontal="center" vertical="center"/>
      <protection hidden="1"/>
    </xf>
    <xf numFmtId="177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7" fillId="4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177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3" borderId="2" xfId="0" applyFont="1" applyFill="1" applyBorder="1" applyAlignment="1">
      <alignment horizontal="right" vertical="center"/>
    </xf>
    <xf numFmtId="186" fontId="5" fillId="3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0" fontId="2" fillId="6" borderId="3" xfId="0" applyNumberFormat="1" applyFont="1" applyFill="1" applyBorder="1" applyAlignment="1">
      <alignment horizontal="center" vertical="center"/>
    </xf>
    <xf numFmtId="10" fontId="2" fillId="6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83" fontId="2" fillId="6" borderId="3" xfId="0" applyNumberFormat="1" applyFont="1" applyFill="1" applyBorder="1" applyAlignment="1">
      <alignment horizontal="center" vertical="center"/>
    </xf>
    <xf numFmtId="10" fontId="18" fillId="0" borderId="0" xfId="3" applyNumberFormat="1" applyFont="1" applyFill="1" applyBorder="1" applyAlignment="1">
      <alignment horizontal="left" vertical="center"/>
    </xf>
    <xf numFmtId="179" fontId="5" fillId="0" borderId="0" xfId="2" applyNumberFormat="1" applyFont="1" applyFill="1" applyBorder="1" applyAlignment="1" applyProtection="1">
      <alignment vertical="center"/>
      <protection hidden="1"/>
    </xf>
    <xf numFmtId="177" fontId="5" fillId="0" borderId="0" xfId="1" applyNumberFormat="1" applyFont="1" applyFill="1" applyBorder="1" applyAlignment="1" applyProtection="1">
      <alignment vertical="center"/>
      <protection hidden="1"/>
    </xf>
    <xf numFmtId="0" fontId="19" fillId="0" borderId="0" xfId="2" applyNumberFormat="1" applyFont="1" applyFill="1" applyBorder="1" applyAlignment="1" applyProtection="1">
      <alignment vertical="center"/>
      <protection hidden="1"/>
    </xf>
    <xf numFmtId="177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9" fontId="5" fillId="0" borderId="0" xfId="3" applyNumberFormat="1" applyFont="1" applyAlignment="1">
      <alignment vertical="center" wrapText="1"/>
    </xf>
    <xf numFmtId="177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20" fillId="0" borderId="0" xfId="2" applyNumberFormat="1" applyFont="1" applyFill="1" applyBorder="1" applyAlignment="1" applyProtection="1">
      <alignment vertical="center"/>
      <protection hidden="1"/>
    </xf>
    <xf numFmtId="0" fontId="20" fillId="0" borderId="0" xfId="3" applyFont="1" applyAlignment="1">
      <alignment vertical="center"/>
    </xf>
    <xf numFmtId="179" fontId="20" fillId="0" borderId="0" xfId="3" applyNumberFormat="1" applyFont="1" applyAlignment="1">
      <alignment vertical="center"/>
    </xf>
    <xf numFmtId="177" fontId="20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9" fontId="6" fillId="0" borderId="0" xfId="3" applyNumberFormat="1" applyFont="1" applyAlignment="1">
      <alignment vertical="center"/>
    </xf>
    <xf numFmtId="177" fontId="6" fillId="0" borderId="0" xfId="1" applyNumberFormat="1" applyFont="1" applyAlignment="1">
      <alignment vertical="center"/>
    </xf>
    <xf numFmtId="179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10" fontId="14" fillId="7" borderId="1" xfId="2" applyNumberFormat="1" applyFont="1" applyFill="1" applyBorder="1" applyAlignment="1" applyProtection="1">
      <alignment horizontal="center" vertical="center"/>
      <protection hidden="1"/>
    </xf>
    <xf numFmtId="10" fontId="15" fillId="7" borderId="1" xfId="3" applyNumberFormat="1" applyFont="1" applyFill="1" applyBorder="1" applyAlignment="1">
      <alignment horizontal="right" vertical="center"/>
    </xf>
    <xf numFmtId="183" fontId="14" fillId="7" borderId="1" xfId="3" applyNumberFormat="1" applyFont="1" applyFill="1" applyBorder="1" applyAlignment="1">
      <alignment horizontal="right" vertical="center" wrapText="1"/>
    </xf>
    <xf numFmtId="180" fontId="2" fillId="8" borderId="1" xfId="3" applyNumberFormat="1" applyFont="1" applyFill="1" applyBorder="1" applyAlignment="1">
      <alignment horizontal="center" vertical="center" wrapText="1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149</xdr:row>
      <xdr:rowOff>0</xdr:rowOff>
    </xdr:from>
    <xdr:to>
      <xdr:col>4</xdr:col>
      <xdr:colOff>0</xdr:colOff>
      <xdr:row>149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4762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153</xdr:row>
      <xdr:rowOff>0</xdr:rowOff>
    </xdr:from>
    <xdr:to>
      <xdr:col>4</xdr:col>
      <xdr:colOff>0</xdr:colOff>
      <xdr:row>153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5626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149</xdr:row>
      <xdr:rowOff>0</xdr:rowOff>
    </xdr:from>
    <xdr:to>
      <xdr:col>4</xdr:col>
      <xdr:colOff>0</xdr:colOff>
      <xdr:row>149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4762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153</xdr:row>
      <xdr:rowOff>0</xdr:rowOff>
    </xdr:from>
    <xdr:to>
      <xdr:col>4</xdr:col>
      <xdr:colOff>0</xdr:colOff>
      <xdr:row>153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5626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148</xdr:row>
      <xdr:rowOff>0</xdr:rowOff>
    </xdr:from>
    <xdr:to>
      <xdr:col>4</xdr:col>
      <xdr:colOff>0</xdr:colOff>
      <xdr:row>148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4546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152</xdr:row>
      <xdr:rowOff>0</xdr:rowOff>
    </xdr:from>
    <xdr:to>
      <xdr:col>4</xdr:col>
      <xdr:colOff>0</xdr:colOff>
      <xdr:row>152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5410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149</xdr:row>
      <xdr:rowOff>0</xdr:rowOff>
    </xdr:from>
    <xdr:to>
      <xdr:col>4</xdr:col>
      <xdr:colOff>0</xdr:colOff>
      <xdr:row>149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762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153</xdr:row>
      <xdr:rowOff>0</xdr:rowOff>
    </xdr:from>
    <xdr:to>
      <xdr:col>4</xdr:col>
      <xdr:colOff>0</xdr:colOff>
      <xdr:row>153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626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149</xdr:row>
      <xdr:rowOff>0</xdr:rowOff>
    </xdr:from>
    <xdr:to>
      <xdr:col>4</xdr:col>
      <xdr:colOff>0</xdr:colOff>
      <xdr:row>149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762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153</xdr:row>
      <xdr:rowOff>0</xdr:rowOff>
    </xdr:from>
    <xdr:to>
      <xdr:col>4</xdr:col>
      <xdr:colOff>0</xdr:colOff>
      <xdr:row>153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626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148</xdr:row>
      <xdr:rowOff>0</xdr:rowOff>
    </xdr:from>
    <xdr:to>
      <xdr:col>4</xdr:col>
      <xdr:colOff>0</xdr:colOff>
      <xdr:row>148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546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58"/>
  <sheetViews>
    <sheetView tabSelected="1" zoomScale="75" zoomScaleNormal="75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J36" sqref="J36"/>
    </sheetView>
  </sheetViews>
  <sheetFormatPr defaultColWidth="8.7265625" defaultRowHeight="17.25" customHeight="1" x14ac:dyDescent="0.4"/>
  <cols>
    <col min="1" max="1" width="15.08984375" style="8" customWidth="1"/>
    <col min="2" max="2" width="8.08984375" style="4" customWidth="1"/>
    <col min="3" max="3" width="19.26953125" style="4" customWidth="1"/>
    <col min="4" max="4" width="8.453125" style="8" bestFit="1" customWidth="1"/>
    <col min="5" max="5" width="14.453125" style="8" customWidth="1"/>
    <col min="6" max="6" width="9.6328125" style="7" customWidth="1"/>
    <col min="7" max="7" width="14.453125" style="8" customWidth="1"/>
    <col min="8" max="8" width="13.08984375" style="8" customWidth="1"/>
    <col min="9" max="9" width="12.453125" style="95" customWidth="1"/>
    <col min="10" max="10" width="12.36328125" style="4" customWidth="1"/>
    <col min="11" max="11" width="11" style="4" customWidth="1"/>
    <col min="12" max="12" width="12.6328125" style="7" customWidth="1"/>
    <col min="13" max="13" width="11.08984375" style="7" customWidth="1"/>
    <col min="14" max="14" width="11" style="7" customWidth="1"/>
    <col min="15" max="15" width="12.6328125" style="7" customWidth="1"/>
    <col min="16" max="16" width="11.453125" style="7" customWidth="1"/>
    <col min="17" max="17" width="15" style="23" customWidth="1"/>
    <col min="18" max="18" width="16.08984375" style="7" customWidth="1"/>
    <col min="19" max="19" width="13.453125" style="5" customWidth="1"/>
    <col min="20" max="20" width="12.08984375" style="17" bestFit="1" customWidth="1"/>
    <col min="21" max="21" width="18.90625" style="97" bestFit="1" customWidth="1"/>
    <col min="22" max="22" width="8.90625" style="8" hidden="1" customWidth="1"/>
    <col min="23" max="23" width="9.6328125" style="3" hidden="1" customWidth="1"/>
    <col min="24" max="16384" width="8.7265625" style="8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2"/>
      <c r="R1" s="1">
        <v>17</v>
      </c>
      <c r="S1" s="1">
        <v>18</v>
      </c>
      <c r="T1" s="1">
        <v>19</v>
      </c>
      <c r="U1" s="1">
        <v>20</v>
      </c>
      <c r="V1" s="1">
        <v>21</v>
      </c>
    </row>
    <row r="2" spans="1:23" ht="17.25" customHeight="1" x14ac:dyDescent="0.4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/>
      <c r="U2" s="11"/>
    </row>
    <row r="3" spans="1:23" ht="17.25" customHeight="1" x14ac:dyDescent="0.4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1"/>
    </row>
    <row r="4" spans="1:23" ht="17.25" customHeight="1" x14ac:dyDescent="0.4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1"/>
    </row>
    <row r="5" spans="1:23" s="13" customFormat="1" ht="17.25" customHeight="1" x14ac:dyDescent="0.4">
      <c r="A5" s="12"/>
      <c r="C5" s="12"/>
      <c r="E5" s="12"/>
      <c r="F5" s="12"/>
      <c r="H5" s="12"/>
      <c r="J5" s="12"/>
      <c r="M5" s="12"/>
      <c r="O5" s="12"/>
      <c r="Q5" s="14"/>
      <c r="R5" s="12"/>
      <c r="T5" s="15"/>
      <c r="U5" s="16"/>
    </row>
    <row r="6" spans="1:23" ht="17.25" customHeight="1" x14ac:dyDescent="0.4">
      <c r="A6" s="18"/>
      <c r="B6" s="18" t="s">
        <v>4</v>
      </c>
      <c r="C6" s="19">
        <v>45887</v>
      </c>
      <c r="H6" s="20"/>
      <c r="I6" s="21"/>
      <c r="J6" s="22"/>
      <c r="K6" s="22"/>
      <c r="S6" s="24"/>
      <c r="T6" s="25" t="s">
        <v>3</v>
      </c>
      <c r="U6" s="25"/>
    </row>
    <row r="7" spans="1:23" s="35" customFormat="1" ht="18" customHeight="1" x14ac:dyDescent="0.4">
      <c r="A7" s="26" t="s">
        <v>5</v>
      </c>
      <c r="B7" s="26" t="s">
        <v>6</v>
      </c>
      <c r="C7" s="26" t="s">
        <v>7</v>
      </c>
      <c r="D7" s="26" t="s">
        <v>8</v>
      </c>
      <c r="E7" s="27" t="s">
        <v>9</v>
      </c>
      <c r="F7" s="28" t="s">
        <v>10</v>
      </c>
      <c r="G7" s="27" t="s">
        <v>11</v>
      </c>
      <c r="H7" s="26" t="s">
        <v>12</v>
      </c>
      <c r="I7" s="29" t="s">
        <v>13</v>
      </c>
      <c r="J7" s="30" t="s">
        <v>14</v>
      </c>
      <c r="K7" s="28" t="s">
        <v>15</v>
      </c>
      <c r="L7" s="28" t="s">
        <v>16</v>
      </c>
      <c r="M7" s="28" t="s">
        <v>17</v>
      </c>
      <c r="N7" s="28" t="s">
        <v>18</v>
      </c>
      <c r="O7" s="28" t="s">
        <v>19</v>
      </c>
      <c r="P7" s="28" t="s">
        <v>20</v>
      </c>
      <c r="Q7" s="31" t="s">
        <v>21</v>
      </c>
      <c r="R7" s="28" t="s">
        <v>22</v>
      </c>
      <c r="S7" s="28" t="s">
        <v>23</v>
      </c>
      <c r="T7" s="32" t="s">
        <v>24</v>
      </c>
      <c r="U7" s="33" t="s">
        <v>25</v>
      </c>
      <c r="V7" s="8"/>
      <c r="W7" s="4" t="s">
        <v>26</v>
      </c>
    </row>
    <row r="8" spans="1:23" s="7" customFormat="1" ht="17.25" customHeight="1" x14ac:dyDescent="0.4">
      <c r="A8" s="36" t="s">
        <v>58</v>
      </c>
      <c r="B8" s="37">
        <v>13164</v>
      </c>
      <c r="C8" s="37" t="s">
        <v>59</v>
      </c>
      <c r="D8" s="38" t="s">
        <v>60</v>
      </c>
      <c r="E8" s="98">
        <v>1.2899999999999998E-2</v>
      </c>
      <c r="F8" s="99">
        <v>2.1999999999999999E-2</v>
      </c>
      <c r="G8" s="39">
        <v>46037</v>
      </c>
      <c r="H8" s="39">
        <v>46051</v>
      </c>
      <c r="I8" s="40">
        <v>0.44931506849315067</v>
      </c>
      <c r="J8" s="41">
        <v>100</v>
      </c>
      <c r="K8" s="42">
        <v>14.7</v>
      </c>
      <c r="L8" s="43">
        <v>0.91836734693877564</v>
      </c>
      <c r="M8" s="44">
        <v>112</v>
      </c>
      <c r="N8" s="45">
        <v>0.21955555555555545</v>
      </c>
      <c r="O8" s="100">
        <v>13289.999999999998</v>
      </c>
      <c r="P8" s="46">
        <v>0.33500000000000002</v>
      </c>
      <c r="Q8" s="47">
        <v>4000</v>
      </c>
      <c r="R8" s="46">
        <v>0.41299999999999998</v>
      </c>
      <c r="S8" s="48" t="s">
        <v>27</v>
      </c>
      <c r="T8" s="49" t="s">
        <v>3</v>
      </c>
      <c r="U8" s="50"/>
      <c r="V8" s="51" t="str">
        <f t="shared" ref="V8:V42" si="0">A8</f>
        <v>上曜四</v>
      </c>
      <c r="W8" s="52">
        <v>3.0000000000000001E-3</v>
      </c>
    </row>
    <row r="9" spans="1:23" s="7" customFormat="1" ht="17.25" customHeight="1" x14ac:dyDescent="0.4">
      <c r="A9" s="36" t="s">
        <v>61</v>
      </c>
      <c r="B9" s="37">
        <v>13166</v>
      </c>
      <c r="C9" s="37" t="s">
        <v>62</v>
      </c>
      <c r="D9" s="38" t="s">
        <v>60</v>
      </c>
      <c r="E9" s="98">
        <v>3.0699999999999998E-2</v>
      </c>
      <c r="F9" s="99">
        <v>2.4E-2</v>
      </c>
      <c r="G9" s="39">
        <v>46370</v>
      </c>
      <c r="H9" s="39">
        <v>46383</v>
      </c>
      <c r="I9" s="40">
        <v>1.3589041095890411</v>
      </c>
      <c r="J9" s="41">
        <v>100.5</v>
      </c>
      <c r="K9" s="42">
        <v>17.399999999999999</v>
      </c>
      <c r="L9" s="43">
        <v>0.77586206896551735</v>
      </c>
      <c r="M9" s="44">
        <v>108.5</v>
      </c>
      <c r="N9" s="45">
        <v>0.39844444444444432</v>
      </c>
      <c r="O9" s="100">
        <v>11570</v>
      </c>
      <c r="P9" s="46">
        <v>1</v>
      </c>
      <c r="Q9" s="47">
        <v>4000</v>
      </c>
      <c r="R9" s="46">
        <v>0.41299999999999998</v>
      </c>
      <c r="S9" s="48" t="s">
        <v>27</v>
      </c>
      <c r="T9" s="49"/>
      <c r="U9" s="50"/>
      <c r="V9" s="51" t="str">
        <f t="shared" si="0"/>
        <v>上曜六</v>
      </c>
      <c r="W9" s="52">
        <v>3.0000000000000001E-3</v>
      </c>
    </row>
    <row r="10" spans="1:23" s="7" customFormat="1" ht="17.25" customHeight="1" x14ac:dyDescent="0.4">
      <c r="A10" s="36" t="s">
        <v>63</v>
      </c>
      <c r="B10" s="37">
        <v>14381</v>
      </c>
      <c r="C10" s="37" t="s">
        <v>64</v>
      </c>
      <c r="D10" s="38" t="s">
        <v>60</v>
      </c>
      <c r="E10" s="98">
        <v>4.1700000000000008E-2</v>
      </c>
      <c r="F10" s="99">
        <v>2.3E-2</v>
      </c>
      <c r="G10" s="39">
        <v>46727</v>
      </c>
      <c r="H10" s="39">
        <v>46740</v>
      </c>
      <c r="I10" s="40">
        <v>2.3369863013698629</v>
      </c>
      <c r="J10" s="41">
        <v>101.50749999999999</v>
      </c>
      <c r="K10" s="42">
        <v>55.88</v>
      </c>
      <c r="L10" s="43">
        <v>0.67734430923407307</v>
      </c>
      <c r="M10" s="44">
        <v>124</v>
      </c>
      <c r="N10" s="45">
        <v>0.83067899603698814</v>
      </c>
      <c r="O10" s="100">
        <v>28170</v>
      </c>
      <c r="P10" s="46">
        <v>1</v>
      </c>
      <c r="Q10" s="47">
        <v>9700</v>
      </c>
      <c r="R10" s="46">
        <v>0.17899999999999999</v>
      </c>
      <c r="S10" s="48" t="s">
        <v>27</v>
      </c>
      <c r="T10" s="49"/>
      <c r="U10" s="50"/>
      <c r="V10" s="51" t="str">
        <f t="shared" si="0"/>
        <v>三地開發一</v>
      </c>
      <c r="W10" s="52">
        <v>3.0000000000000001E-3</v>
      </c>
    </row>
    <row r="11" spans="1:23" s="7" customFormat="1" ht="17.25" customHeight="1" x14ac:dyDescent="0.4">
      <c r="A11" s="36" t="s">
        <v>65</v>
      </c>
      <c r="B11" s="37">
        <v>14664</v>
      </c>
      <c r="C11" s="37" t="s">
        <v>64</v>
      </c>
      <c r="D11" s="38" t="s">
        <v>66</v>
      </c>
      <c r="E11" s="98">
        <v>6.8400000000000002E-2</v>
      </c>
      <c r="F11" s="99">
        <v>2.3E-2</v>
      </c>
      <c r="G11" s="39">
        <v>46910</v>
      </c>
      <c r="H11" s="39">
        <v>46924</v>
      </c>
      <c r="I11" s="40">
        <v>2.8410958904109589</v>
      </c>
      <c r="J11" s="41">
        <v>100</v>
      </c>
      <c r="K11" s="42">
        <v>18.8</v>
      </c>
      <c r="L11" s="43">
        <v>0.84042553191489366</v>
      </c>
      <c r="M11" s="44">
        <v>106.25</v>
      </c>
      <c r="N11" s="45">
        <v>0.26424050632911394</v>
      </c>
      <c r="O11" s="100">
        <v>13090.000000000002</v>
      </c>
      <c r="P11" s="46">
        <v>1</v>
      </c>
      <c r="Q11" s="47">
        <v>4000</v>
      </c>
      <c r="R11" s="46">
        <v>0.27700000000000002</v>
      </c>
      <c r="S11" s="48" t="s">
        <v>27</v>
      </c>
      <c r="T11" s="49"/>
      <c r="U11" s="50"/>
      <c r="V11" s="51" t="str">
        <f t="shared" si="0"/>
        <v>聚隆四</v>
      </c>
      <c r="W11" s="52">
        <v>3.0000000000000001E-3</v>
      </c>
    </row>
    <row r="12" spans="1:23" s="7" customFormat="1" ht="17.25" customHeight="1" x14ac:dyDescent="0.4">
      <c r="A12" s="36" t="s">
        <v>67</v>
      </c>
      <c r="B12" s="37">
        <v>14722</v>
      </c>
      <c r="C12" s="37" t="s">
        <v>64</v>
      </c>
      <c r="D12" s="38" t="s">
        <v>66</v>
      </c>
      <c r="E12" s="98">
        <v>3.39E-2</v>
      </c>
      <c r="F12" s="99">
        <v>2.3E-2</v>
      </c>
      <c r="G12" s="39">
        <v>46524</v>
      </c>
      <c r="H12" s="39">
        <v>46536</v>
      </c>
      <c r="I12" s="40">
        <v>1.7780821917808218</v>
      </c>
      <c r="J12" s="41">
        <v>101.0025</v>
      </c>
      <c r="K12" s="42">
        <v>98.6</v>
      </c>
      <c r="L12" s="43">
        <v>0.96044624746450313</v>
      </c>
      <c r="M12" s="44">
        <v>105.7</v>
      </c>
      <c r="N12" s="45">
        <v>0.10053009503695878</v>
      </c>
      <c r="O12" s="100">
        <v>9090.0000000000036</v>
      </c>
      <c r="P12" s="46">
        <v>1</v>
      </c>
      <c r="Q12" s="47">
        <v>3000</v>
      </c>
      <c r="R12" s="46">
        <v>0.36399999999999999</v>
      </c>
      <c r="S12" s="48" t="s">
        <v>27</v>
      </c>
      <c r="T12" s="49"/>
      <c r="U12" s="50"/>
      <c r="V12" s="51" t="str">
        <f t="shared" si="0"/>
        <v>三洋實業二</v>
      </c>
      <c r="W12" s="52">
        <v>3.0000000000000001E-3</v>
      </c>
    </row>
    <row r="13" spans="1:23" s="7" customFormat="1" ht="17.25" customHeight="1" x14ac:dyDescent="0.4">
      <c r="A13" s="36" t="s">
        <v>68</v>
      </c>
      <c r="B13" s="37">
        <v>15142</v>
      </c>
      <c r="C13" s="37" t="s">
        <v>69</v>
      </c>
      <c r="D13" s="38" t="s">
        <v>70</v>
      </c>
      <c r="E13" s="98">
        <v>7.3700000000000002E-2</v>
      </c>
      <c r="F13" s="99">
        <v>3.2500000000000001E-2</v>
      </c>
      <c r="G13" s="39">
        <v>46751</v>
      </c>
      <c r="H13" s="39">
        <v>46765</v>
      </c>
      <c r="I13" s="40">
        <v>2.4054794520547946</v>
      </c>
      <c r="J13" s="41">
        <v>100.75190000000001</v>
      </c>
      <c r="K13" s="42">
        <v>113.2</v>
      </c>
      <c r="L13" s="43">
        <v>0.9319787985865724</v>
      </c>
      <c r="M13" s="44">
        <v>109.8</v>
      </c>
      <c r="N13" s="45">
        <v>0.17813838862559236</v>
      </c>
      <c r="O13" s="100">
        <v>17169.999999999996</v>
      </c>
      <c r="P13" s="46">
        <v>1</v>
      </c>
      <c r="Q13" s="47">
        <v>12000</v>
      </c>
      <c r="R13" s="46">
        <v>0.25900000000000001</v>
      </c>
      <c r="S13" s="48" t="s">
        <v>28</v>
      </c>
      <c r="T13" s="49"/>
      <c r="U13" s="50"/>
      <c r="V13" s="51" t="str">
        <f t="shared" si="0"/>
        <v>亞力二</v>
      </c>
      <c r="W13" s="52">
        <v>3.0000000000000001E-3</v>
      </c>
    </row>
    <row r="14" spans="1:23" s="7" customFormat="1" ht="17.25" customHeight="1" x14ac:dyDescent="0.4">
      <c r="A14" s="36" t="s">
        <v>71</v>
      </c>
      <c r="B14" s="37">
        <v>15601</v>
      </c>
      <c r="C14" s="37" t="s">
        <v>69</v>
      </c>
      <c r="D14" s="38" t="s">
        <v>72</v>
      </c>
      <c r="E14" s="98">
        <v>4.9300000000000004E-2</v>
      </c>
      <c r="F14" s="99">
        <v>2.5000000000000001E-2</v>
      </c>
      <c r="G14" s="39">
        <v>46548</v>
      </c>
      <c r="H14" s="39">
        <v>46562</v>
      </c>
      <c r="I14" s="40">
        <v>1.8493150684931507</v>
      </c>
      <c r="J14" s="41">
        <v>100</v>
      </c>
      <c r="K14" s="42">
        <v>284.60000000000002</v>
      </c>
      <c r="L14" s="43">
        <v>1.0628952916373857</v>
      </c>
      <c r="M14" s="44">
        <v>124.4</v>
      </c>
      <c r="N14" s="45">
        <v>0.1703880991735538</v>
      </c>
      <c r="O14" s="100">
        <v>29330.000000000007</v>
      </c>
      <c r="P14" s="46">
        <v>1</v>
      </c>
      <c r="Q14" s="47">
        <v>10000</v>
      </c>
      <c r="R14" s="46">
        <v>0.33900000000000002</v>
      </c>
      <c r="S14" s="48" t="s">
        <v>27</v>
      </c>
      <c r="T14" s="49"/>
      <c r="U14" s="53"/>
      <c r="V14" s="51" t="str">
        <f t="shared" si="0"/>
        <v>中砂一</v>
      </c>
      <c r="W14" s="52">
        <v>3.0000000000000001E-3</v>
      </c>
    </row>
    <row r="15" spans="1:23" s="7" customFormat="1" ht="17.25" customHeight="1" x14ac:dyDescent="0.4">
      <c r="A15" s="36" t="s">
        <v>73</v>
      </c>
      <c r="B15" s="37">
        <v>15864</v>
      </c>
      <c r="C15" s="37" t="s">
        <v>74</v>
      </c>
      <c r="D15" s="38" t="s">
        <v>60</v>
      </c>
      <c r="E15" s="98">
        <v>2.58E-2</v>
      </c>
      <c r="F15" s="99">
        <v>2.1999999999999999E-2</v>
      </c>
      <c r="G15" s="39">
        <v>46251</v>
      </c>
      <c r="H15" s="39">
        <v>46264</v>
      </c>
      <c r="I15" s="40">
        <v>1.0328767123287672</v>
      </c>
      <c r="J15" s="41">
        <v>100</v>
      </c>
      <c r="K15" s="42">
        <v>31.08</v>
      </c>
      <c r="L15" s="43">
        <v>0.93468468468468469</v>
      </c>
      <c r="M15" s="44">
        <v>110.5</v>
      </c>
      <c r="N15" s="45">
        <v>0.18221686746987947</v>
      </c>
      <c r="O15" s="100">
        <v>13080</v>
      </c>
      <c r="P15" s="46">
        <v>1</v>
      </c>
      <c r="Q15" s="47">
        <v>2000</v>
      </c>
      <c r="R15" s="46">
        <v>0.40200000000000002</v>
      </c>
      <c r="S15" s="48" t="s">
        <v>27</v>
      </c>
      <c r="T15" s="49"/>
      <c r="U15" s="50"/>
      <c r="V15" s="51" t="str">
        <f t="shared" si="0"/>
        <v>和勤四</v>
      </c>
      <c r="W15" s="52">
        <v>3.0000000000000001E-3</v>
      </c>
    </row>
    <row r="16" spans="1:23" s="7" customFormat="1" ht="17.25" customHeight="1" x14ac:dyDescent="0.4">
      <c r="A16" s="36" t="s">
        <v>75</v>
      </c>
      <c r="B16" s="37">
        <v>15991</v>
      </c>
      <c r="C16" s="37" t="s">
        <v>76</v>
      </c>
      <c r="D16" s="38" t="s">
        <v>77</v>
      </c>
      <c r="E16" s="98">
        <v>8.6E-3</v>
      </c>
      <c r="F16" s="99">
        <v>2.1999999999999999E-2</v>
      </c>
      <c r="G16" s="39">
        <v>45965</v>
      </c>
      <c r="H16" s="39">
        <v>45979</v>
      </c>
      <c r="I16" s="40">
        <v>0.25205479452054796</v>
      </c>
      <c r="J16" s="41">
        <v>100</v>
      </c>
      <c r="K16" s="42">
        <v>41.5</v>
      </c>
      <c r="L16" s="43">
        <v>0.7614457831325302</v>
      </c>
      <c r="M16" s="44">
        <v>100.75</v>
      </c>
      <c r="N16" s="45">
        <v>0.32314082278480999</v>
      </c>
      <c r="O16" s="100">
        <v>1610</v>
      </c>
      <c r="P16" s="46">
        <v>1</v>
      </c>
      <c r="Q16" s="47">
        <v>3000</v>
      </c>
      <c r="R16" s="46">
        <v>0.20399999999999999</v>
      </c>
      <c r="S16" s="48" t="s">
        <v>27</v>
      </c>
      <c r="T16" s="49"/>
      <c r="U16" s="50"/>
      <c r="V16" s="51" t="str">
        <f t="shared" si="0"/>
        <v>宏佳騰一</v>
      </c>
      <c r="W16" s="52">
        <v>3.0000000000000001E-3</v>
      </c>
    </row>
    <row r="17" spans="1:23" s="7" customFormat="1" ht="17.25" customHeight="1" x14ac:dyDescent="0.4">
      <c r="A17" s="36" t="s">
        <v>78</v>
      </c>
      <c r="B17" s="37">
        <v>16095</v>
      </c>
      <c r="C17" s="37" t="s">
        <v>69</v>
      </c>
      <c r="D17" s="38" t="s">
        <v>77</v>
      </c>
      <c r="E17" s="98">
        <v>6.9700000000000012E-2</v>
      </c>
      <c r="F17" s="99">
        <v>3.5000000000000003E-2</v>
      </c>
      <c r="G17" s="39">
        <v>46646</v>
      </c>
      <c r="H17" s="39">
        <v>46660</v>
      </c>
      <c r="I17" s="40">
        <v>2.117808219178082</v>
      </c>
      <c r="J17" s="41">
        <v>100.75</v>
      </c>
      <c r="K17" s="42">
        <v>51.3</v>
      </c>
      <c r="L17" s="43">
        <v>0.75925925925925941</v>
      </c>
      <c r="M17" s="44">
        <v>102.9</v>
      </c>
      <c r="N17" s="45">
        <v>0.3552682926829267</v>
      </c>
      <c r="O17" s="100">
        <v>9870.0000000000073</v>
      </c>
      <c r="P17" s="46">
        <v>1</v>
      </c>
      <c r="Q17" s="47">
        <v>20000</v>
      </c>
      <c r="R17" s="46">
        <v>0.5</v>
      </c>
      <c r="S17" s="48" t="s">
        <v>28</v>
      </c>
      <c r="T17" s="49"/>
      <c r="U17" s="50"/>
      <c r="V17" s="51" t="str">
        <f t="shared" si="0"/>
        <v>大亞五</v>
      </c>
      <c r="W17" s="52">
        <v>3.0000000000000001E-3</v>
      </c>
    </row>
    <row r="18" spans="1:23" s="7" customFormat="1" ht="17.25" customHeight="1" x14ac:dyDescent="0.4">
      <c r="A18" s="36" t="s">
        <v>79</v>
      </c>
      <c r="B18" s="37">
        <v>17813</v>
      </c>
      <c r="C18" s="37" t="s">
        <v>80</v>
      </c>
      <c r="D18" s="38" t="s">
        <v>66</v>
      </c>
      <c r="E18" s="98">
        <v>5.1400000000000008E-2</v>
      </c>
      <c r="F18" s="99">
        <v>2.3E-2</v>
      </c>
      <c r="G18" s="39">
        <v>46640</v>
      </c>
      <c r="H18" s="39">
        <v>46654</v>
      </c>
      <c r="I18" s="40">
        <v>2.1013698630136988</v>
      </c>
      <c r="J18" s="41">
        <v>100</v>
      </c>
      <c r="K18" s="42">
        <v>18</v>
      </c>
      <c r="L18" s="43">
        <v>0.77222222222222225</v>
      </c>
      <c r="M18" s="44">
        <v>103.1</v>
      </c>
      <c r="N18" s="45">
        <v>0.33510791366906456</v>
      </c>
      <c r="O18" s="100">
        <v>8239.9999999999945</v>
      </c>
      <c r="P18" s="46">
        <v>1</v>
      </c>
      <c r="Q18" s="47">
        <v>2000</v>
      </c>
      <c r="R18" s="46">
        <v>8.4000000000000005E-2</v>
      </c>
      <c r="S18" s="48" t="s">
        <v>27</v>
      </c>
      <c r="T18" s="49"/>
      <c r="U18" s="50"/>
      <c r="V18" s="51" t="str">
        <f t="shared" si="0"/>
        <v>合世三</v>
      </c>
      <c r="W18" s="52">
        <v>3.0000000000000001E-3</v>
      </c>
    </row>
    <row r="19" spans="1:23" s="7" customFormat="1" ht="17.25" customHeight="1" x14ac:dyDescent="0.4">
      <c r="A19" s="36" t="s">
        <v>81</v>
      </c>
      <c r="B19" s="37">
        <v>22283</v>
      </c>
      <c r="C19" s="37" t="s">
        <v>69</v>
      </c>
      <c r="D19" s="38" t="s">
        <v>77</v>
      </c>
      <c r="E19" s="98">
        <v>5.9900000000000009E-2</v>
      </c>
      <c r="F19" s="99">
        <v>2.8000000000000001E-2</v>
      </c>
      <c r="G19" s="39">
        <v>46615</v>
      </c>
      <c r="H19" s="39">
        <v>46628</v>
      </c>
      <c r="I19" s="40">
        <v>2.0301369863013701</v>
      </c>
      <c r="J19" s="41">
        <v>100</v>
      </c>
      <c r="K19" s="42">
        <v>85.36</v>
      </c>
      <c r="L19" s="43">
        <v>1.3179475164011247</v>
      </c>
      <c r="M19" s="44">
        <v>131.1</v>
      </c>
      <c r="N19" s="45">
        <v>-5.2714666666668249E-3</v>
      </c>
      <c r="O19" s="100">
        <v>37089.999999999993</v>
      </c>
      <c r="P19" s="46">
        <v>0.9996666666666667</v>
      </c>
      <c r="Q19" s="47">
        <v>3000</v>
      </c>
      <c r="R19" s="46">
        <v>0.57699999999999996</v>
      </c>
      <c r="S19" s="48" t="s">
        <v>27</v>
      </c>
      <c r="T19" s="49"/>
      <c r="U19" s="50"/>
      <c r="V19" s="51" t="str">
        <f t="shared" si="0"/>
        <v>劍麟三</v>
      </c>
      <c r="W19" s="52">
        <v>3.0000000000000001E-3</v>
      </c>
    </row>
    <row r="20" spans="1:23" s="7" customFormat="1" ht="17.25" customHeight="1" x14ac:dyDescent="0.4">
      <c r="A20" s="36" t="s">
        <v>82</v>
      </c>
      <c r="B20" s="37">
        <v>22471</v>
      </c>
      <c r="C20" s="37" t="s">
        <v>69</v>
      </c>
      <c r="D20" s="38" t="s">
        <v>72</v>
      </c>
      <c r="E20" s="98">
        <v>8.0200000000000007E-2</v>
      </c>
      <c r="F20" s="99">
        <v>2.7E-2</v>
      </c>
      <c r="G20" s="39">
        <v>46916</v>
      </c>
      <c r="H20" s="39">
        <v>46930</v>
      </c>
      <c r="I20" s="40">
        <v>2.8575342465753426</v>
      </c>
      <c r="J20" s="41">
        <v>100</v>
      </c>
      <c r="K20" s="42">
        <v>289.39999999999998</v>
      </c>
      <c r="L20" s="43">
        <v>1.0366275051831375</v>
      </c>
      <c r="M20" s="44">
        <v>107.7</v>
      </c>
      <c r="N20" s="45">
        <v>3.8945999999999981E-2</v>
      </c>
      <c r="O20" s="100">
        <v>15720.000000000004</v>
      </c>
      <c r="P20" s="46">
        <v>1</v>
      </c>
      <c r="Q20" s="47">
        <v>10000</v>
      </c>
      <c r="R20" s="46">
        <v>0.37</v>
      </c>
      <c r="S20" s="48" t="s">
        <v>27</v>
      </c>
      <c r="T20" s="49" t="s">
        <v>3</v>
      </c>
      <c r="U20" s="50"/>
      <c r="V20" s="51" t="str">
        <f t="shared" si="0"/>
        <v>汎德永業一</v>
      </c>
      <c r="W20" s="52">
        <v>3.0000000000000001E-3</v>
      </c>
    </row>
    <row r="21" spans="1:23" s="7" customFormat="1" ht="17.25" customHeight="1" x14ac:dyDescent="0.4">
      <c r="A21" s="36" t="s">
        <v>83</v>
      </c>
      <c r="B21" s="37">
        <v>22472</v>
      </c>
      <c r="C21" s="37" t="s">
        <v>69</v>
      </c>
      <c r="D21" s="38" t="s">
        <v>72</v>
      </c>
      <c r="E21" s="98">
        <v>8.0500000000000002E-2</v>
      </c>
      <c r="F21" s="99">
        <v>2.7E-2</v>
      </c>
      <c r="G21" s="39">
        <v>46920</v>
      </c>
      <c r="H21" s="39">
        <v>46934</v>
      </c>
      <c r="I21" s="40">
        <v>2.8684931506849316</v>
      </c>
      <c r="J21" s="41">
        <v>100</v>
      </c>
      <c r="K21" s="42">
        <v>280.2</v>
      </c>
      <c r="L21" s="43">
        <v>1.0706638115631693</v>
      </c>
      <c r="M21" s="44">
        <v>110.85</v>
      </c>
      <c r="N21" s="45">
        <v>3.5338999999999898E-2</v>
      </c>
      <c r="O21" s="100">
        <v>18899.999999999996</v>
      </c>
      <c r="P21" s="46">
        <v>1</v>
      </c>
      <c r="Q21" s="47">
        <v>10000</v>
      </c>
      <c r="R21" s="46">
        <v>0.37</v>
      </c>
      <c r="S21" s="48" t="s">
        <v>27</v>
      </c>
      <c r="T21" s="49"/>
      <c r="U21" s="50"/>
      <c r="V21" s="51" t="str">
        <f t="shared" si="0"/>
        <v>汎德永業二</v>
      </c>
      <c r="W21" s="52">
        <v>3.0000000000000001E-3</v>
      </c>
    </row>
    <row r="22" spans="1:23" s="7" customFormat="1" ht="18" customHeight="1" x14ac:dyDescent="0.4">
      <c r="A22" s="36" t="s">
        <v>84</v>
      </c>
      <c r="B22" s="37">
        <v>23511</v>
      </c>
      <c r="C22" s="37" t="s">
        <v>69</v>
      </c>
      <c r="D22" s="38" t="s">
        <v>77</v>
      </c>
      <c r="E22" s="98">
        <v>9.5100000000000004E-2</v>
      </c>
      <c r="F22" s="99">
        <v>3.2500000000000001E-2</v>
      </c>
      <c r="G22" s="39">
        <v>46909</v>
      </c>
      <c r="H22" s="39">
        <v>46921</v>
      </c>
      <c r="I22" s="40">
        <v>2.8328767123287673</v>
      </c>
      <c r="J22" s="41">
        <v>100</v>
      </c>
      <c r="K22" s="42">
        <v>72.400000000000006</v>
      </c>
      <c r="L22" s="43">
        <v>1.0718232044198894</v>
      </c>
      <c r="M22" s="44">
        <v>118</v>
      </c>
      <c r="N22" s="45">
        <v>0.1009278350515464</v>
      </c>
      <c r="O22" s="100">
        <v>27510</v>
      </c>
      <c r="P22" s="46">
        <v>1</v>
      </c>
      <c r="Q22" s="47">
        <v>12000</v>
      </c>
      <c r="R22" s="46">
        <v>0.36099999999999999</v>
      </c>
      <c r="S22" s="48" t="s">
        <v>27</v>
      </c>
      <c r="T22" s="49"/>
      <c r="U22" s="50"/>
      <c r="V22" s="51" t="str">
        <f t="shared" si="0"/>
        <v>順德一</v>
      </c>
      <c r="W22" s="52">
        <v>3.0000000000000001E-3</v>
      </c>
    </row>
    <row r="23" spans="1:23" s="7" customFormat="1" ht="18" customHeight="1" x14ac:dyDescent="0.4">
      <c r="A23" s="36" t="s">
        <v>85</v>
      </c>
      <c r="B23" s="37">
        <v>23682</v>
      </c>
      <c r="C23" s="37" t="s">
        <v>69</v>
      </c>
      <c r="D23" s="38" t="s">
        <v>72</v>
      </c>
      <c r="E23" s="98">
        <v>3.6800000000000006E-2</v>
      </c>
      <c r="F23" s="99">
        <v>2.5999999999999999E-2</v>
      </c>
      <c r="G23" s="39">
        <v>46349</v>
      </c>
      <c r="H23" s="39">
        <v>46361</v>
      </c>
      <c r="I23" s="40">
        <v>1.2986301369863014</v>
      </c>
      <c r="J23" s="41">
        <v>100</v>
      </c>
      <c r="K23" s="42">
        <v>214</v>
      </c>
      <c r="L23" s="43">
        <v>2.1752336448598131</v>
      </c>
      <c r="M23" s="44">
        <v>219</v>
      </c>
      <c r="N23" s="45">
        <v>6.7883995703544118E-3</v>
      </c>
      <c r="O23" s="100">
        <v>122679.99999999999</v>
      </c>
      <c r="P23" s="46">
        <v>0.545825</v>
      </c>
      <c r="Q23" s="47">
        <v>40000</v>
      </c>
      <c r="R23" s="46">
        <v>0.47299999999999998</v>
      </c>
      <c r="S23" s="48" t="s">
        <v>28</v>
      </c>
      <c r="T23" s="49"/>
      <c r="U23" s="50"/>
      <c r="V23" s="51" t="str">
        <f t="shared" si="0"/>
        <v>金像電二</v>
      </c>
      <c r="W23" s="52">
        <v>3.0000000000000001E-3</v>
      </c>
    </row>
    <row r="24" spans="1:23" s="7" customFormat="1" ht="18" customHeight="1" x14ac:dyDescent="0.4">
      <c r="A24" s="36" t="s">
        <v>86</v>
      </c>
      <c r="B24" s="37">
        <v>23836</v>
      </c>
      <c r="C24" s="37" t="s">
        <v>69</v>
      </c>
      <c r="D24" s="38" t="s">
        <v>87</v>
      </c>
      <c r="E24" s="98">
        <v>5.5700000000000006E-2</v>
      </c>
      <c r="F24" s="99">
        <v>2.5000000000000001E-2</v>
      </c>
      <c r="G24" s="39">
        <v>46643</v>
      </c>
      <c r="H24" s="39">
        <v>46655</v>
      </c>
      <c r="I24" s="40">
        <v>2.1041095890410957</v>
      </c>
      <c r="J24" s="41">
        <v>100</v>
      </c>
      <c r="K24" s="42">
        <v>607.5</v>
      </c>
      <c r="L24" s="43">
        <v>2.1069958847736627</v>
      </c>
      <c r="M24" s="44">
        <v>212</v>
      </c>
      <c r="N24" s="45">
        <v>6.1718749999999656E-3</v>
      </c>
      <c r="O24" s="100">
        <v>117570.00000000001</v>
      </c>
      <c r="P24" s="46">
        <v>0.55010000000000003</v>
      </c>
      <c r="Q24" s="47">
        <v>30000</v>
      </c>
      <c r="R24" s="46">
        <v>0.40899999999999997</v>
      </c>
      <c r="S24" s="48" t="s">
        <v>28</v>
      </c>
      <c r="T24" s="49"/>
      <c r="U24" s="50"/>
      <c r="V24" s="51" t="str">
        <f t="shared" si="0"/>
        <v>台光電六</v>
      </c>
      <c r="W24" s="52">
        <v>3.0000000000000001E-3</v>
      </c>
    </row>
    <row r="25" spans="1:23" s="7" customFormat="1" ht="17.25" customHeight="1" x14ac:dyDescent="0.4">
      <c r="A25" s="36" t="s">
        <v>88</v>
      </c>
      <c r="B25" s="37">
        <v>24361</v>
      </c>
      <c r="C25" s="37" t="s">
        <v>69</v>
      </c>
      <c r="D25" s="38" t="s">
        <v>77</v>
      </c>
      <c r="E25" s="98">
        <v>4.0400000000000005E-2</v>
      </c>
      <c r="F25" s="99">
        <v>3.5000000000000003E-2</v>
      </c>
      <c r="G25" s="39">
        <v>46262</v>
      </c>
      <c r="H25" s="101">
        <v>46276</v>
      </c>
      <c r="I25" s="40">
        <v>1.0657534246575342</v>
      </c>
      <c r="J25" s="41">
        <v>100</v>
      </c>
      <c r="K25" s="42">
        <v>58.4</v>
      </c>
      <c r="L25" s="43">
        <v>0.79195205479452058</v>
      </c>
      <c r="M25" s="44">
        <v>102.65</v>
      </c>
      <c r="N25" s="45">
        <v>0.29616432432432438</v>
      </c>
      <c r="O25" s="100">
        <v>6690.0000000000073</v>
      </c>
      <c r="P25" s="46">
        <v>0.99990909090909086</v>
      </c>
      <c r="Q25" s="47">
        <v>11000</v>
      </c>
      <c r="R25" s="46">
        <v>0.307</v>
      </c>
      <c r="S25" s="48" t="s">
        <v>28</v>
      </c>
      <c r="T25" s="49" t="s">
        <v>29</v>
      </c>
      <c r="U25" s="50"/>
      <c r="V25" s="51" t="str">
        <f t="shared" si="0"/>
        <v>偉詮電一</v>
      </c>
      <c r="W25" s="52">
        <v>3.0000000000000001E-3</v>
      </c>
    </row>
    <row r="26" spans="1:23" s="7" customFormat="1" ht="17.25" customHeight="1" x14ac:dyDescent="0.4">
      <c r="A26" s="36" t="s">
        <v>89</v>
      </c>
      <c r="B26" s="37">
        <v>24394</v>
      </c>
      <c r="C26" s="37" t="s">
        <v>69</v>
      </c>
      <c r="D26" s="38" t="s">
        <v>87</v>
      </c>
      <c r="E26" s="98">
        <v>5.0400000000000007E-2</v>
      </c>
      <c r="F26" s="99">
        <v>2.5000000000000001E-2</v>
      </c>
      <c r="G26" s="39">
        <v>46566</v>
      </c>
      <c r="H26" s="39">
        <v>46578</v>
      </c>
      <c r="I26" s="40">
        <v>1.893150684931507</v>
      </c>
      <c r="J26" s="41">
        <v>100</v>
      </c>
      <c r="K26" s="42">
        <v>137.5</v>
      </c>
      <c r="L26" s="43">
        <v>0.8545454545454545</v>
      </c>
      <c r="M26" s="44">
        <v>106</v>
      </c>
      <c r="N26" s="45">
        <v>0.24042553191489363</v>
      </c>
      <c r="O26" s="100">
        <v>11040</v>
      </c>
      <c r="P26" s="46">
        <v>1</v>
      </c>
      <c r="Q26" s="47">
        <v>25000</v>
      </c>
      <c r="R26" s="46">
        <v>0.29199999999999998</v>
      </c>
      <c r="S26" s="48" t="s">
        <v>27</v>
      </c>
      <c r="T26" s="49"/>
      <c r="U26" s="50"/>
      <c r="V26" s="51" t="str">
        <f t="shared" si="0"/>
        <v>美律四</v>
      </c>
      <c r="W26" s="52">
        <v>3.0000000000000001E-3</v>
      </c>
    </row>
    <row r="27" spans="1:23" s="7" customFormat="1" ht="15.75" customHeight="1" x14ac:dyDescent="0.4">
      <c r="A27" s="36" t="s">
        <v>30</v>
      </c>
      <c r="B27" s="37">
        <v>24395</v>
      </c>
      <c r="C27" s="37" t="s">
        <v>69</v>
      </c>
      <c r="D27" s="38" t="s">
        <v>87</v>
      </c>
      <c r="E27" s="98">
        <v>5.1200000000000002E-2</v>
      </c>
      <c r="F27" s="99">
        <v>2.5000000000000001E-2</v>
      </c>
      <c r="G27" s="39">
        <v>46576</v>
      </c>
      <c r="H27" s="39">
        <v>46590</v>
      </c>
      <c r="I27" s="40">
        <v>1.9260273972602739</v>
      </c>
      <c r="J27" s="41">
        <v>100</v>
      </c>
      <c r="K27" s="42">
        <v>133.5</v>
      </c>
      <c r="L27" s="43">
        <v>0.88014981273408244</v>
      </c>
      <c r="M27" s="44">
        <v>107</v>
      </c>
      <c r="N27" s="45">
        <v>0.21570212765957447</v>
      </c>
      <c r="O27" s="100">
        <v>12120</v>
      </c>
      <c r="P27" s="46">
        <v>1</v>
      </c>
      <c r="Q27" s="47">
        <v>5000</v>
      </c>
      <c r="R27" s="46">
        <v>0.29199999999999998</v>
      </c>
      <c r="S27" s="48" t="s">
        <v>27</v>
      </c>
      <c r="T27" s="49"/>
      <c r="U27" s="50"/>
      <c r="V27" s="51" t="str">
        <f t="shared" si="0"/>
        <v>美律五</v>
      </c>
      <c r="W27" s="52">
        <v>3.0000000000000001E-3</v>
      </c>
    </row>
    <row r="28" spans="1:23" s="7" customFormat="1" ht="17.25" customHeight="1" x14ac:dyDescent="0.4">
      <c r="A28" s="36" t="s">
        <v>90</v>
      </c>
      <c r="B28" s="37">
        <v>24616</v>
      </c>
      <c r="C28" s="37" t="s">
        <v>64</v>
      </c>
      <c r="D28" s="38" t="s">
        <v>70</v>
      </c>
      <c r="E28" s="98">
        <v>1.6199999999999999E-2</v>
      </c>
      <c r="F28" s="99">
        <v>2.1999999999999999E-2</v>
      </c>
      <c r="G28" s="39">
        <v>46091</v>
      </c>
      <c r="H28" s="39">
        <v>46105</v>
      </c>
      <c r="I28" s="40">
        <v>0.59726027397260273</v>
      </c>
      <c r="J28" s="41">
        <v>100</v>
      </c>
      <c r="K28" s="42">
        <v>14.5</v>
      </c>
      <c r="L28" s="43">
        <v>1.1551724137931034</v>
      </c>
      <c r="M28" s="44">
        <v>140</v>
      </c>
      <c r="N28" s="45">
        <v>0.21194029850746265</v>
      </c>
      <c r="O28" s="100">
        <v>41620</v>
      </c>
      <c r="P28" s="46">
        <v>0.44350000000000001</v>
      </c>
      <c r="Q28" s="47">
        <v>6000</v>
      </c>
      <c r="R28" s="46">
        <v>0.161</v>
      </c>
      <c r="S28" s="48" t="s">
        <v>27</v>
      </c>
      <c r="T28" s="49"/>
      <c r="U28" s="50"/>
      <c r="V28" s="51" t="str">
        <f t="shared" si="0"/>
        <v>光群雷六</v>
      </c>
      <c r="W28" s="52">
        <v>3.0000000000000001E-3</v>
      </c>
    </row>
    <row r="29" spans="1:23" s="7" customFormat="1" ht="17.25" customHeight="1" x14ac:dyDescent="0.4">
      <c r="A29" s="36" t="s">
        <v>91</v>
      </c>
      <c r="B29" s="37">
        <v>24762</v>
      </c>
      <c r="C29" s="37" t="s">
        <v>69</v>
      </c>
      <c r="D29" s="38" t="s">
        <v>72</v>
      </c>
      <c r="E29" s="98">
        <v>4.0500000000000008E-2</v>
      </c>
      <c r="F29" s="99">
        <v>2.5999999999999999E-2</v>
      </c>
      <c r="G29" s="39">
        <v>46399</v>
      </c>
      <c r="H29" s="39">
        <v>46413</v>
      </c>
      <c r="I29" s="40">
        <v>1.441095890410959</v>
      </c>
      <c r="J29" s="41">
        <v>100</v>
      </c>
      <c r="K29" s="42">
        <v>69.599999999999994</v>
      </c>
      <c r="L29" s="43">
        <v>1.2787356321839081</v>
      </c>
      <c r="M29" s="44">
        <v>133.5</v>
      </c>
      <c r="N29" s="45">
        <v>4.3999999999999928E-2</v>
      </c>
      <c r="O29" s="100">
        <v>37550.000000000007</v>
      </c>
      <c r="P29" s="46">
        <v>0.76929999999999998</v>
      </c>
      <c r="Q29" s="47">
        <v>10000</v>
      </c>
      <c r="R29" s="46">
        <v>0.375</v>
      </c>
      <c r="S29" s="48" t="s">
        <v>28</v>
      </c>
      <c r="T29" s="49"/>
      <c r="U29" s="50"/>
      <c r="V29" s="51" t="str">
        <f t="shared" si="0"/>
        <v>鉅祥二</v>
      </c>
      <c r="W29" s="52">
        <v>3.0000000000000001E-3</v>
      </c>
    </row>
    <row r="30" spans="1:23" s="7" customFormat="1" ht="17.25" customHeight="1" x14ac:dyDescent="0.4">
      <c r="A30" s="36" t="s">
        <v>92</v>
      </c>
      <c r="B30" s="37">
        <v>25283</v>
      </c>
      <c r="C30" s="37" t="s">
        <v>93</v>
      </c>
      <c r="D30" s="38" t="s">
        <v>60</v>
      </c>
      <c r="E30" s="98">
        <v>0.05</v>
      </c>
      <c r="F30" s="99">
        <v>2.3E-2</v>
      </c>
      <c r="G30" s="39">
        <v>46738</v>
      </c>
      <c r="H30" s="39">
        <v>46752</v>
      </c>
      <c r="I30" s="40">
        <v>2.3698630136986303</v>
      </c>
      <c r="J30" s="41">
        <v>100.752</v>
      </c>
      <c r="K30" s="42">
        <v>42.4</v>
      </c>
      <c r="L30" s="43">
        <v>0.69339622641509435</v>
      </c>
      <c r="M30" s="44">
        <v>108</v>
      </c>
      <c r="N30" s="45">
        <v>0.55755102040816318</v>
      </c>
      <c r="O30" s="100">
        <v>13000</v>
      </c>
      <c r="P30" s="46">
        <v>1</v>
      </c>
      <c r="Q30" s="47">
        <v>6000</v>
      </c>
      <c r="R30" s="46">
        <v>0.219</v>
      </c>
      <c r="S30" s="48" t="s">
        <v>27</v>
      </c>
      <c r="T30" s="49"/>
      <c r="U30" s="50"/>
      <c r="V30" s="51" t="str">
        <f t="shared" si="0"/>
        <v>皇普三</v>
      </c>
      <c r="W30" s="52">
        <v>3.0000000000000001E-3</v>
      </c>
    </row>
    <row r="31" spans="1:23" s="7" customFormat="1" ht="17.25" customHeight="1" x14ac:dyDescent="0.4">
      <c r="A31" s="36" t="s">
        <v>94</v>
      </c>
      <c r="B31" s="37">
        <v>26107</v>
      </c>
      <c r="C31" s="37" t="s">
        <v>69</v>
      </c>
      <c r="D31" s="38" t="s">
        <v>72</v>
      </c>
      <c r="E31" s="98">
        <v>2.0399999999999998E-2</v>
      </c>
      <c r="F31" s="99">
        <v>2.5000000000000001E-2</v>
      </c>
      <c r="G31" s="39">
        <v>46126</v>
      </c>
      <c r="H31" s="39">
        <v>46140</v>
      </c>
      <c r="I31" s="40">
        <v>0.69315068493150689</v>
      </c>
      <c r="J31" s="41">
        <v>100</v>
      </c>
      <c r="K31" s="42">
        <v>16.899999999999999</v>
      </c>
      <c r="L31" s="43">
        <v>1.260355029585799</v>
      </c>
      <c r="M31" s="44">
        <v>129.9</v>
      </c>
      <c r="N31" s="45">
        <v>3.0661971830985832E-2</v>
      </c>
      <c r="O31" s="100">
        <v>31940</v>
      </c>
      <c r="P31" s="46">
        <v>0.22997777777777778</v>
      </c>
      <c r="Q31" s="47">
        <v>45000</v>
      </c>
      <c r="R31" s="46">
        <v>0.13900000000000001</v>
      </c>
      <c r="S31" s="48" t="s">
        <v>28</v>
      </c>
      <c r="T31" s="49"/>
      <c r="U31" s="50"/>
      <c r="V31" s="51" t="str">
        <f t="shared" si="0"/>
        <v>華航七</v>
      </c>
      <c r="W31" s="52">
        <v>3.0000000000000001E-3</v>
      </c>
    </row>
    <row r="32" spans="1:23" s="7" customFormat="1" ht="17.25" customHeight="1" x14ac:dyDescent="0.4">
      <c r="A32" s="36" t="s">
        <v>95</v>
      </c>
      <c r="B32" s="37">
        <v>27271</v>
      </c>
      <c r="C32" s="37" t="s">
        <v>69</v>
      </c>
      <c r="D32" s="38" t="s">
        <v>72</v>
      </c>
      <c r="E32" s="98">
        <v>1.26E-2</v>
      </c>
      <c r="F32" s="99">
        <v>2.8000000000000001E-2</v>
      </c>
      <c r="G32" s="39">
        <v>46097</v>
      </c>
      <c r="H32" s="39">
        <v>46110</v>
      </c>
      <c r="I32" s="40">
        <v>0.61095890410958908</v>
      </c>
      <c r="J32" s="41">
        <v>100.75190000000001</v>
      </c>
      <c r="K32" s="42">
        <v>233.4</v>
      </c>
      <c r="L32" s="43">
        <v>0.94258783204798613</v>
      </c>
      <c r="M32" s="44">
        <v>110.15</v>
      </c>
      <c r="N32" s="45">
        <v>0.16859136363636382</v>
      </c>
      <c r="O32" s="100">
        <v>11410.000000000005</v>
      </c>
      <c r="P32" s="46">
        <v>0.99985714285714289</v>
      </c>
      <c r="Q32" s="47">
        <v>7000</v>
      </c>
      <c r="R32" s="46">
        <v>0.17</v>
      </c>
      <c r="S32" s="48" t="s">
        <v>28</v>
      </c>
      <c r="T32" s="49"/>
      <c r="U32" s="50"/>
      <c r="V32" s="51" t="str">
        <f t="shared" si="0"/>
        <v>王品一</v>
      </c>
      <c r="W32" s="52">
        <v>3.0000000000000001E-3</v>
      </c>
    </row>
    <row r="33" spans="1:23" s="7" customFormat="1" ht="17.25" customHeight="1" x14ac:dyDescent="0.4">
      <c r="A33" s="36" t="s">
        <v>96</v>
      </c>
      <c r="B33" s="37">
        <v>27551</v>
      </c>
      <c r="C33" s="37" t="s">
        <v>69</v>
      </c>
      <c r="D33" s="38" t="s">
        <v>77</v>
      </c>
      <c r="E33" s="98">
        <v>8.7400000000000005E-2</v>
      </c>
      <c r="F33" s="99">
        <v>3.5000000000000003E-2</v>
      </c>
      <c r="G33" s="39">
        <v>46755</v>
      </c>
      <c r="H33" s="39">
        <v>46767</v>
      </c>
      <c r="I33" s="40">
        <v>2.4109589041095889</v>
      </c>
      <c r="J33" s="41">
        <v>100</v>
      </c>
      <c r="K33" s="42">
        <v>103.8</v>
      </c>
      <c r="L33" s="43">
        <v>1.6040462427745665</v>
      </c>
      <c r="M33" s="44">
        <v>157</v>
      </c>
      <c r="N33" s="45">
        <v>-2.1225225225225314E-2</v>
      </c>
      <c r="O33" s="100">
        <v>65740</v>
      </c>
      <c r="P33" s="46">
        <v>0.83599999999999997</v>
      </c>
      <c r="Q33" s="47">
        <v>2000</v>
      </c>
      <c r="R33" s="46">
        <v>0.186</v>
      </c>
      <c r="S33" s="48" t="s">
        <v>28</v>
      </c>
      <c r="T33" s="49"/>
      <c r="U33" s="50"/>
      <c r="V33" s="51" t="str">
        <f t="shared" si="0"/>
        <v>揚秦一</v>
      </c>
      <c r="W33" s="52">
        <v>3.0000000000000001E-3</v>
      </c>
    </row>
    <row r="34" spans="1:23" s="7" customFormat="1" ht="17.25" customHeight="1" x14ac:dyDescent="0.4">
      <c r="A34" s="36" t="s">
        <v>97</v>
      </c>
      <c r="B34" s="37">
        <v>27561</v>
      </c>
      <c r="C34" s="37" t="s">
        <v>69</v>
      </c>
      <c r="D34" s="38" t="s">
        <v>77</v>
      </c>
      <c r="E34" s="98">
        <v>2.4299999999999999E-2</v>
      </c>
      <c r="F34" s="99">
        <v>0.04</v>
      </c>
      <c r="G34" s="39">
        <v>46160</v>
      </c>
      <c r="H34" s="39">
        <v>46172</v>
      </c>
      <c r="I34" s="40">
        <v>0.78082191780821919</v>
      </c>
      <c r="J34" s="41">
        <v>101.0025</v>
      </c>
      <c r="K34" s="42">
        <v>91.3</v>
      </c>
      <c r="L34" s="43">
        <v>1.095290251916758</v>
      </c>
      <c r="M34" s="44">
        <v>119.05</v>
      </c>
      <c r="N34" s="45">
        <v>8.692649999999992E-2</v>
      </c>
      <c r="O34" s="100">
        <v>21479.999999999996</v>
      </c>
      <c r="P34" s="46">
        <v>0.98333333333333328</v>
      </c>
      <c r="Q34" s="47">
        <v>3000</v>
      </c>
      <c r="R34" s="46">
        <v>0.56399999999999995</v>
      </c>
      <c r="S34" s="48" t="s">
        <v>28</v>
      </c>
      <c r="T34" s="49"/>
      <c r="U34" s="50"/>
      <c r="V34" s="51" t="str">
        <f t="shared" si="0"/>
        <v>聯發國際一</v>
      </c>
      <c r="W34" s="52">
        <v>3.0000000000000001E-3</v>
      </c>
    </row>
    <row r="35" spans="1:23" s="7" customFormat="1" ht="17.25" customHeight="1" x14ac:dyDescent="0.4">
      <c r="A35" s="36" t="s">
        <v>98</v>
      </c>
      <c r="B35" s="37">
        <v>30134</v>
      </c>
      <c r="C35" s="37" t="s">
        <v>99</v>
      </c>
      <c r="D35" s="38" t="s">
        <v>77</v>
      </c>
      <c r="E35" s="98">
        <v>5.2900000000000003E-2</v>
      </c>
      <c r="F35" s="99">
        <v>2.3E-2</v>
      </c>
      <c r="G35" s="39">
        <v>46664</v>
      </c>
      <c r="H35" s="39">
        <v>46678</v>
      </c>
      <c r="I35" s="40">
        <v>2.1671232876712327</v>
      </c>
      <c r="J35" s="41">
        <v>100</v>
      </c>
      <c r="K35" s="42">
        <v>143.80000000000001</v>
      </c>
      <c r="L35" s="43">
        <v>0.88317107093184977</v>
      </c>
      <c r="M35" s="44">
        <v>125</v>
      </c>
      <c r="N35" s="45">
        <v>0.41535433070866151</v>
      </c>
      <c r="O35" s="100">
        <v>30290</v>
      </c>
      <c r="P35" s="46">
        <v>1</v>
      </c>
      <c r="Q35" s="47">
        <v>5000</v>
      </c>
      <c r="R35" s="46">
        <v>0.41499999999999998</v>
      </c>
      <c r="S35" s="48" t="s">
        <v>27</v>
      </c>
      <c r="T35" s="49"/>
      <c r="U35" s="50"/>
      <c r="V35" s="51" t="str">
        <f t="shared" si="0"/>
        <v>晟銘電四</v>
      </c>
      <c r="W35" s="52">
        <v>3.0000000000000001E-3</v>
      </c>
    </row>
    <row r="36" spans="1:23" s="7" customFormat="1" ht="17.25" customHeight="1" x14ac:dyDescent="0.4">
      <c r="A36" s="36" t="s">
        <v>100</v>
      </c>
      <c r="B36" s="37">
        <v>30238</v>
      </c>
      <c r="C36" s="37" t="s">
        <v>69</v>
      </c>
      <c r="D36" s="38" t="s">
        <v>72</v>
      </c>
      <c r="E36" s="98">
        <v>1.0999999999999999E-2</v>
      </c>
      <c r="F36" s="99">
        <v>2.5000000000000001E-2</v>
      </c>
      <c r="G36" s="39">
        <v>45989</v>
      </c>
      <c r="H36" s="39">
        <v>46003</v>
      </c>
      <c r="I36" s="40">
        <v>0.31780821917808222</v>
      </c>
      <c r="J36" s="41">
        <v>100</v>
      </c>
      <c r="K36" s="42">
        <v>270.89999999999998</v>
      </c>
      <c r="L36" s="43">
        <v>0.90992986341823556</v>
      </c>
      <c r="M36" s="44">
        <v>104</v>
      </c>
      <c r="N36" s="45">
        <v>0.14294523326572006</v>
      </c>
      <c r="O36" s="100">
        <v>5100</v>
      </c>
      <c r="P36" s="46">
        <v>0.81669999999999998</v>
      </c>
      <c r="Q36" s="47">
        <v>10000</v>
      </c>
      <c r="R36" s="46">
        <v>0.24099999999999999</v>
      </c>
      <c r="S36" s="48" t="s">
        <v>27</v>
      </c>
      <c r="T36" s="49"/>
      <c r="U36" s="50"/>
      <c r="V36" s="51" t="str">
        <f t="shared" si="0"/>
        <v>信邦八</v>
      </c>
      <c r="W36" s="52">
        <v>3.0000000000000001E-3</v>
      </c>
    </row>
    <row r="37" spans="1:23" s="7" customFormat="1" ht="17.25" customHeight="1" x14ac:dyDescent="0.4">
      <c r="A37" s="36" t="s">
        <v>101</v>
      </c>
      <c r="B37" s="37">
        <v>30454</v>
      </c>
      <c r="C37" s="37" t="s">
        <v>69</v>
      </c>
      <c r="D37" s="38" t="s">
        <v>102</v>
      </c>
      <c r="E37" s="98">
        <v>6.1000000000000006E-2</v>
      </c>
      <c r="F37" s="99">
        <v>2.3E-2</v>
      </c>
      <c r="G37" s="39">
        <v>46793</v>
      </c>
      <c r="H37" s="39">
        <v>46807</v>
      </c>
      <c r="I37" s="40">
        <v>2.5205479452054793</v>
      </c>
      <c r="J37" s="41">
        <v>100</v>
      </c>
      <c r="K37" s="42">
        <v>118.2</v>
      </c>
      <c r="L37" s="43">
        <v>0.90524534686971236</v>
      </c>
      <c r="M37" s="44">
        <v>99.5</v>
      </c>
      <c r="N37" s="45">
        <v>9.9149532710280361E-2</v>
      </c>
      <c r="O37" s="100">
        <v>5600.0000000000009</v>
      </c>
      <c r="P37" s="46">
        <v>1</v>
      </c>
      <c r="Q37" s="47">
        <v>70000</v>
      </c>
      <c r="R37" s="46">
        <v>0.127</v>
      </c>
      <c r="S37" s="48" t="s">
        <v>27</v>
      </c>
      <c r="T37" s="49"/>
      <c r="U37" s="50"/>
      <c r="V37" s="51" t="str">
        <f t="shared" si="0"/>
        <v>台灣大四</v>
      </c>
      <c r="W37" s="52">
        <v>3.0000000000000001E-3</v>
      </c>
    </row>
    <row r="38" spans="1:23" s="7" customFormat="1" ht="17.25" customHeight="1" x14ac:dyDescent="0.4">
      <c r="A38" s="36" t="s">
        <v>103</v>
      </c>
      <c r="B38" s="37">
        <v>30455</v>
      </c>
      <c r="C38" s="37" t="s">
        <v>69</v>
      </c>
      <c r="D38" s="38" t="s">
        <v>102</v>
      </c>
      <c r="E38" s="98">
        <v>6.1100000000000008E-2</v>
      </c>
      <c r="F38" s="99">
        <v>2.3E-2</v>
      </c>
      <c r="G38" s="39">
        <v>46794</v>
      </c>
      <c r="H38" s="39">
        <v>46808</v>
      </c>
      <c r="I38" s="40">
        <v>2.5232876712328767</v>
      </c>
      <c r="J38" s="41">
        <v>100</v>
      </c>
      <c r="K38" s="42">
        <v>111.3</v>
      </c>
      <c r="L38" s="43">
        <v>0.96136567834681042</v>
      </c>
      <c r="M38" s="44">
        <v>101.75</v>
      </c>
      <c r="N38" s="45">
        <v>5.8390186915887814E-2</v>
      </c>
      <c r="O38" s="100">
        <v>7860</v>
      </c>
      <c r="P38" s="46">
        <v>1</v>
      </c>
      <c r="Q38" s="47">
        <v>30000</v>
      </c>
      <c r="R38" s="46">
        <v>0.127</v>
      </c>
      <c r="S38" s="48" t="s">
        <v>27</v>
      </c>
      <c r="T38" s="49"/>
      <c r="U38" s="50"/>
      <c r="V38" s="51" t="str">
        <f t="shared" si="0"/>
        <v>台灣大五</v>
      </c>
      <c r="W38" s="52">
        <v>3.0000000000000001E-3</v>
      </c>
    </row>
    <row r="39" spans="1:23" s="7" customFormat="1" ht="17.25" customHeight="1" x14ac:dyDescent="0.4">
      <c r="A39" s="36" t="s">
        <v>104</v>
      </c>
      <c r="B39" s="37">
        <v>30954</v>
      </c>
      <c r="C39" s="37" t="s">
        <v>105</v>
      </c>
      <c r="D39" s="38" t="s">
        <v>106</v>
      </c>
      <c r="E39" s="98">
        <v>3.9600000000000003E-2</v>
      </c>
      <c r="F39" s="99">
        <v>2.4E-2</v>
      </c>
      <c r="G39" s="39">
        <v>46429</v>
      </c>
      <c r="H39" s="39">
        <v>46443</v>
      </c>
      <c r="I39" s="40">
        <v>1.5232876712328767</v>
      </c>
      <c r="J39" s="41">
        <v>100</v>
      </c>
      <c r="K39" s="42">
        <v>41.1</v>
      </c>
      <c r="L39" s="43">
        <v>0.63260340632603407</v>
      </c>
      <c r="M39" s="44">
        <v>108.95</v>
      </c>
      <c r="N39" s="45">
        <v>0.72224807692307691</v>
      </c>
      <c r="O39" s="100">
        <v>12910.000000000002</v>
      </c>
      <c r="P39" s="46">
        <v>1</v>
      </c>
      <c r="Q39" s="47">
        <v>1500</v>
      </c>
      <c r="R39" s="46">
        <v>0.26800000000000002</v>
      </c>
      <c r="S39" s="48" t="s">
        <v>27</v>
      </c>
      <c r="T39" s="49"/>
      <c r="U39" s="50"/>
      <c r="V39" s="51" t="str">
        <f t="shared" si="0"/>
        <v>及成四</v>
      </c>
      <c r="W39" s="52">
        <v>3.0000000000000001E-3</v>
      </c>
    </row>
    <row r="40" spans="1:23" s="7" customFormat="1" ht="17.25" customHeight="1" x14ac:dyDescent="0.4">
      <c r="A40" s="36" t="s">
        <v>107</v>
      </c>
      <c r="B40" s="37">
        <v>31311</v>
      </c>
      <c r="C40" s="37" t="s">
        <v>69</v>
      </c>
      <c r="D40" s="38" t="s">
        <v>77</v>
      </c>
      <c r="E40" s="98">
        <v>9.1600000000000001E-2</v>
      </c>
      <c r="F40" s="99">
        <v>0.03</v>
      </c>
      <c r="G40" s="39">
        <v>46951</v>
      </c>
      <c r="H40" s="39">
        <v>46964</v>
      </c>
      <c r="I40" s="40">
        <v>2.9506849315068493</v>
      </c>
      <c r="J40" s="41">
        <v>100</v>
      </c>
      <c r="K40" s="42">
        <v>1736.5</v>
      </c>
      <c r="L40" s="43">
        <v>0.80046069680391596</v>
      </c>
      <c r="M40" s="44">
        <v>112.7</v>
      </c>
      <c r="N40" s="45">
        <v>0.40793920863309346</v>
      </c>
      <c r="O40" s="100">
        <v>21860</v>
      </c>
      <c r="P40" s="46">
        <v>1</v>
      </c>
      <c r="Q40" s="47">
        <v>10000</v>
      </c>
      <c r="R40" s="46">
        <v>0.39200000000000002</v>
      </c>
      <c r="S40" s="48" t="s">
        <v>28</v>
      </c>
      <c r="T40" s="49"/>
      <c r="U40" s="53"/>
      <c r="V40" s="51" t="str">
        <f t="shared" si="0"/>
        <v>弘塑一</v>
      </c>
      <c r="W40" s="52">
        <v>3.0000000000000001E-3</v>
      </c>
    </row>
    <row r="41" spans="1:23" s="7" customFormat="1" ht="17.25" customHeight="1" x14ac:dyDescent="0.4">
      <c r="A41" s="36" t="s">
        <v>108</v>
      </c>
      <c r="B41" s="37">
        <v>31312</v>
      </c>
      <c r="C41" s="37" t="s">
        <v>69</v>
      </c>
      <c r="D41" s="38" t="s">
        <v>77</v>
      </c>
      <c r="E41" s="98">
        <v>9.2100000000000001E-2</v>
      </c>
      <c r="F41" s="99">
        <v>0.03</v>
      </c>
      <c r="G41" s="39">
        <v>46958</v>
      </c>
      <c r="H41" s="39">
        <v>46970</v>
      </c>
      <c r="I41" s="40">
        <v>2.967123287671233</v>
      </c>
      <c r="J41" s="41">
        <v>100</v>
      </c>
      <c r="K41" s="42">
        <v>1626.6</v>
      </c>
      <c r="L41" s="43">
        <v>0.85454321898438468</v>
      </c>
      <c r="M41" s="44">
        <v>115.5</v>
      </c>
      <c r="N41" s="45">
        <v>0.35159928057553952</v>
      </c>
      <c r="O41" s="100">
        <v>24710</v>
      </c>
      <c r="P41" s="46">
        <v>1</v>
      </c>
      <c r="Q41" s="47">
        <v>10000</v>
      </c>
      <c r="R41" s="46">
        <v>0.39200000000000002</v>
      </c>
      <c r="S41" s="48" t="s">
        <v>28</v>
      </c>
      <c r="T41" s="49"/>
      <c r="U41" s="53"/>
      <c r="V41" s="51" t="str">
        <f t="shared" ref="V41" si="1">A41</f>
        <v>弘塑二</v>
      </c>
      <c r="W41" s="52">
        <v>3.0000000000000001E-3</v>
      </c>
    </row>
    <row r="42" spans="1:23" s="7" customFormat="1" ht="17.149999999999999" customHeight="1" x14ac:dyDescent="0.4">
      <c r="A42" s="36" t="s">
        <v>109</v>
      </c>
      <c r="B42" s="37">
        <v>32571</v>
      </c>
      <c r="C42" s="37" t="s">
        <v>69</v>
      </c>
      <c r="D42" s="38" t="s">
        <v>70</v>
      </c>
      <c r="E42" s="98">
        <v>7.6200000000000004E-2</v>
      </c>
      <c r="F42" s="99">
        <v>0.04</v>
      </c>
      <c r="G42" s="39">
        <v>46678</v>
      </c>
      <c r="H42" s="39">
        <v>46692</v>
      </c>
      <c r="I42" s="40">
        <v>2.2054794520547945</v>
      </c>
      <c r="J42" s="41">
        <v>101.50749999999999</v>
      </c>
      <c r="K42" s="42">
        <v>72.2</v>
      </c>
      <c r="L42" s="43">
        <v>0.8434903047091411</v>
      </c>
      <c r="M42" s="44">
        <v>103.35</v>
      </c>
      <c r="N42" s="45">
        <v>0.22526600985221684</v>
      </c>
      <c r="O42" s="100">
        <v>10969.999999999995</v>
      </c>
      <c r="P42" s="46">
        <v>1</v>
      </c>
      <c r="Q42" s="47">
        <v>5000</v>
      </c>
      <c r="R42" s="46">
        <v>0.25600000000000001</v>
      </c>
      <c r="S42" s="48" t="s">
        <v>28</v>
      </c>
      <c r="T42" s="49"/>
      <c r="U42" s="53"/>
      <c r="V42" s="51" t="str">
        <f t="shared" si="0"/>
        <v>虹冠電一</v>
      </c>
      <c r="W42" s="52">
        <v>3.0000000000000001E-3</v>
      </c>
    </row>
    <row r="43" spans="1:23" s="7" customFormat="1" ht="17.149999999999999" customHeight="1" x14ac:dyDescent="0.4">
      <c r="A43" s="36" t="s">
        <v>110</v>
      </c>
      <c r="B43" s="37">
        <v>33055</v>
      </c>
      <c r="C43" s="37" t="s">
        <v>69</v>
      </c>
      <c r="D43" s="38" t="s">
        <v>70</v>
      </c>
      <c r="E43" s="98">
        <v>7.2000000000000007E-3</v>
      </c>
      <c r="F43" s="99">
        <v>0.04</v>
      </c>
      <c r="G43" s="39">
        <v>46002</v>
      </c>
      <c r="H43" s="39">
        <v>46016</v>
      </c>
      <c r="I43" s="40">
        <v>0.35342465753424657</v>
      </c>
      <c r="J43" s="41">
        <v>101.0025</v>
      </c>
      <c r="K43" s="42">
        <v>73.3</v>
      </c>
      <c r="L43" s="43">
        <v>1.203274215552524</v>
      </c>
      <c r="M43" s="44">
        <v>125.1</v>
      </c>
      <c r="N43" s="45">
        <v>3.9663265306122297E-2</v>
      </c>
      <c r="O43" s="100">
        <v>25819.999999999993</v>
      </c>
      <c r="P43" s="46">
        <v>1</v>
      </c>
      <c r="Q43" s="47">
        <v>8000</v>
      </c>
      <c r="R43" s="46">
        <v>0.73199999999999998</v>
      </c>
      <c r="S43" s="48" t="s">
        <v>28</v>
      </c>
      <c r="T43" s="49"/>
      <c r="U43" s="53"/>
      <c r="V43" s="51" t="str">
        <f t="shared" ref="V43:V81" si="2">A43</f>
        <v>昇貿五</v>
      </c>
      <c r="W43" s="52">
        <v>3.0000000000000001E-3</v>
      </c>
    </row>
    <row r="44" spans="1:23" s="7" customFormat="1" ht="17.149999999999999" customHeight="1" x14ac:dyDescent="0.4">
      <c r="A44" s="36" t="s">
        <v>111</v>
      </c>
      <c r="B44" s="37">
        <v>33133</v>
      </c>
      <c r="C44" s="37" t="s">
        <v>93</v>
      </c>
      <c r="D44" s="38" t="s">
        <v>66</v>
      </c>
      <c r="E44" s="98">
        <v>5.5500000000000008E-2</v>
      </c>
      <c r="F44" s="99">
        <v>2.3E-2</v>
      </c>
      <c r="G44" s="39">
        <v>46706</v>
      </c>
      <c r="H44" s="39">
        <v>46720</v>
      </c>
      <c r="I44" s="40">
        <v>2.2821917808219179</v>
      </c>
      <c r="J44" s="41">
        <v>100</v>
      </c>
      <c r="K44" s="42">
        <v>15.7</v>
      </c>
      <c r="L44" s="43">
        <v>0.85350318471337583</v>
      </c>
      <c r="M44" s="44">
        <v>105</v>
      </c>
      <c r="N44" s="45">
        <v>0.23022388059701482</v>
      </c>
      <c r="O44" s="100">
        <v>10550.000000000002</v>
      </c>
      <c r="P44" s="46">
        <v>1</v>
      </c>
      <c r="Q44" s="47">
        <v>4000</v>
      </c>
      <c r="R44" s="46">
        <v>0.21099999999999999</v>
      </c>
      <c r="S44" s="48" t="s">
        <v>27</v>
      </c>
      <c r="T44" s="49"/>
      <c r="U44" s="53"/>
      <c r="V44" s="51" t="str">
        <f t="shared" si="2"/>
        <v>斐成三</v>
      </c>
      <c r="W44" s="52">
        <v>3.0000000000000001E-3</v>
      </c>
    </row>
    <row r="45" spans="1:23" s="7" customFormat="1" ht="17.149999999999999" customHeight="1" x14ac:dyDescent="0.4">
      <c r="A45" s="36" t="s">
        <v>112</v>
      </c>
      <c r="B45" s="37">
        <v>33245</v>
      </c>
      <c r="C45" s="37" t="s">
        <v>69</v>
      </c>
      <c r="D45" s="38" t="s">
        <v>72</v>
      </c>
      <c r="E45" s="98">
        <v>3.6700000000000003E-2</v>
      </c>
      <c r="F45" s="99">
        <v>2.5000000000000001E-2</v>
      </c>
      <c r="G45" s="39">
        <v>46587</v>
      </c>
      <c r="H45" s="39">
        <v>46599</v>
      </c>
      <c r="I45" s="40">
        <v>1.9506849315068493</v>
      </c>
      <c r="J45" s="41">
        <v>101.50749999999999</v>
      </c>
      <c r="K45" s="42">
        <v>734.4</v>
      </c>
      <c r="L45" s="43">
        <v>0.95043572984749458</v>
      </c>
      <c r="M45" s="44">
        <v>128.1</v>
      </c>
      <c r="N45" s="45">
        <v>0.34780286532951277</v>
      </c>
      <c r="O45" s="100">
        <v>31769.999999999993</v>
      </c>
      <c r="P45" s="46">
        <v>1</v>
      </c>
      <c r="Q45" s="47">
        <v>15000</v>
      </c>
      <c r="R45" s="46">
        <v>0.42299999999999999</v>
      </c>
      <c r="S45" s="48" t="s">
        <v>27</v>
      </c>
      <c r="T45" s="49"/>
      <c r="U45" s="53"/>
      <c r="V45" s="51" t="str">
        <f t="shared" si="2"/>
        <v>雙鴻五</v>
      </c>
      <c r="W45" s="52">
        <v>3.0000000000000001E-3</v>
      </c>
    </row>
    <row r="46" spans="1:23" s="7" customFormat="1" ht="17.25" customHeight="1" x14ac:dyDescent="0.4">
      <c r="A46" s="36" t="s">
        <v>113</v>
      </c>
      <c r="B46" s="37">
        <v>33571</v>
      </c>
      <c r="C46" s="37" t="s">
        <v>69</v>
      </c>
      <c r="D46" s="38" t="s">
        <v>72</v>
      </c>
      <c r="E46" s="98">
        <v>3.5500000000000004E-2</v>
      </c>
      <c r="F46" s="99">
        <v>2.7E-2</v>
      </c>
      <c r="G46" s="39">
        <v>46314</v>
      </c>
      <c r="H46" s="39">
        <v>46326</v>
      </c>
      <c r="I46" s="40">
        <v>1.2027397260273973</v>
      </c>
      <c r="J46" s="41">
        <v>100</v>
      </c>
      <c r="K46" s="42">
        <v>108.9</v>
      </c>
      <c r="L46" s="43">
        <v>1.0651974288337924</v>
      </c>
      <c r="M46" s="44">
        <v>118</v>
      </c>
      <c r="N46" s="45">
        <v>0.10777586206896562</v>
      </c>
      <c r="O46" s="100">
        <v>21550</v>
      </c>
      <c r="P46" s="46">
        <v>0.99990909090909086</v>
      </c>
      <c r="Q46" s="47">
        <v>11000</v>
      </c>
      <c r="R46" s="46">
        <v>0.373</v>
      </c>
      <c r="S46" s="48" t="s">
        <v>27</v>
      </c>
      <c r="T46" s="49"/>
      <c r="U46" s="53"/>
      <c r="V46" s="51" t="str">
        <f t="shared" si="2"/>
        <v>臺慶科一</v>
      </c>
      <c r="W46" s="52">
        <v>3.0000000000000001E-3</v>
      </c>
    </row>
    <row r="47" spans="1:23" s="7" customFormat="1" ht="17.25" customHeight="1" x14ac:dyDescent="0.4">
      <c r="A47" s="36" t="s">
        <v>114</v>
      </c>
      <c r="B47" s="37">
        <v>33621</v>
      </c>
      <c r="C47" s="37" t="s">
        <v>115</v>
      </c>
      <c r="D47" s="38" t="s">
        <v>70</v>
      </c>
      <c r="E47" s="98">
        <v>3.9500000000000007E-2</v>
      </c>
      <c r="F47" s="99">
        <v>2.3E-2</v>
      </c>
      <c r="G47" s="39">
        <v>46570</v>
      </c>
      <c r="H47" s="39">
        <v>46584</v>
      </c>
      <c r="I47" s="40">
        <v>1.9095890410958904</v>
      </c>
      <c r="J47" s="41">
        <v>100.75</v>
      </c>
      <c r="K47" s="42">
        <v>251</v>
      </c>
      <c r="L47" s="43">
        <v>0.49402390438247012</v>
      </c>
      <c r="M47" s="44">
        <v>103</v>
      </c>
      <c r="N47" s="45">
        <v>1.0849193548387097</v>
      </c>
      <c r="O47" s="100">
        <v>6950.0000000000009</v>
      </c>
      <c r="P47" s="46">
        <v>0.99991666666666668</v>
      </c>
      <c r="Q47" s="47">
        <v>12000</v>
      </c>
      <c r="R47" s="46">
        <v>0.42099999999999999</v>
      </c>
      <c r="S47" s="48" t="s">
        <v>27</v>
      </c>
      <c r="T47" s="49"/>
      <c r="U47" s="53"/>
      <c r="V47" s="51" t="str">
        <f t="shared" si="2"/>
        <v>先進光一</v>
      </c>
      <c r="W47" s="52">
        <v>3.0000000000000001E-3</v>
      </c>
    </row>
    <row r="48" spans="1:23" s="7" customFormat="1" ht="17.25" customHeight="1" x14ac:dyDescent="0.4">
      <c r="A48" s="36" t="s">
        <v>31</v>
      </c>
      <c r="B48" s="37">
        <v>33763</v>
      </c>
      <c r="C48" s="37" t="s">
        <v>69</v>
      </c>
      <c r="D48" s="38" t="s">
        <v>72</v>
      </c>
      <c r="E48" s="98">
        <v>3.8300000000000008E-2</v>
      </c>
      <c r="F48" s="99">
        <v>2.5000000000000001E-2</v>
      </c>
      <c r="G48" s="39">
        <v>46608</v>
      </c>
      <c r="H48" s="39">
        <v>46622</v>
      </c>
      <c r="I48" s="40">
        <v>2.0136986301369864</v>
      </c>
      <c r="J48" s="41">
        <v>101.51</v>
      </c>
      <c r="K48" s="42">
        <v>195.2</v>
      </c>
      <c r="L48" s="43">
        <v>1.1987704918032787</v>
      </c>
      <c r="M48" s="44">
        <v>135.55000000000001</v>
      </c>
      <c r="N48" s="45">
        <v>0.13074188034188039</v>
      </c>
      <c r="O48" s="100">
        <v>39380.000000000007</v>
      </c>
      <c r="P48" s="46">
        <v>1</v>
      </c>
      <c r="Q48" s="47">
        <v>8000</v>
      </c>
      <c r="R48" s="46">
        <v>0.497</v>
      </c>
      <c r="S48" s="48" t="s">
        <v>27</v>
      </c>
      <c r="T48" s="49"/>
      <c r="U48" s="53"/>
      <c r="V48" s="51" t="str">
        <f t="shared" si="2"/>
        <v>新日興三</v>
      </c>
      <c r="W48" s="52">
        <v>3.0000000000000001E-3</v>
      </c>
    </row>
    <row r="49" spans="1:23" s="7" customFormat="1" ht="17.25" customHeight="1" x14ac:dyDescent="0.4">
      <c r="A49" s="36" t="s">
        <v>116</v>
      </c>
      <c r="B49" s="37">
        <v>33881</v>
      </c>
      <c r="C49" s="37" t="s">
        <v>69</v>
      </c>
      <c r="D49" s="38" t="s">
        <v>72</v>
      </c>
      <c r="E49" s="98">
        <v>9.4000000000000004E-3</v>
      </c>
      <c r="F49" s="99">
        <v>2.8000000000000001E-2</v>
      </c>
      <c r="G49" s="39">
        <v>45957</v>
      </c>
      <c r="H49" s="39">
        <v>45970</v>
      </c>
      <c r="I49" s="40">
        <v>0.22739726027397261</v>
      </c>
      <c r="J49" s="41">
        <v>100</v>
      </c>
      <c r="K49" s="42">
        <v>62.8</v>
      </c>
      <c r="L49" s="43">
        <v>1</v>
      </c>
      <c r="M49" s="44">
        <v>102.95</v>
      </c>
      <c r="N49" s="45">
        <v>2.950000000000003E-2</v>
      </c>
      <c r="O49" s="100">
        <v>3890.0000000000032</v>
      </c>
      <c r="P49" s="46">
        <v>0.99985714285714289</v>
      </c>
      <c r="Q49" s="47">
        <v>7000</v>
      </c>
      <c r="R49" s="46">
        <v>7.9000000000000001E-2</v>
      </c>
      <c r="S49" s="48" t="s">
        <v>27</v>
      </c>
      <c r="T49" s="49"/>
      <c r="U49" s="53"/>
      <c r="V49" s="51" t="str">
        <f t="shared" si="2"/>
        <v>崇越電一</v>
      </c>
      <c r="W49" s="52">
        <v>3.0000000000000001E-3</v>
      </c>
    </row>
    <row r="50" spans="1:23" s="7" customFormat="1" ht="17.25" customHeight="1" x14ac:dyDescent="0.4">
      <c r="A50" s="36" t="s">
        <v>117</v>
      </c>
      <c r="B50" s="37">
        <v>33902</v>
      </c>
      <c r="C50" s="37" t="s">
        <v>118</v>
      </c>
      <c r="D50" s="38" t="s">
        <v>66</v>
      </c>
      <c r="E50" s="98">
        <v>6.0800000000000007E-2</v>
      </c>
      <c r="F50" s="99">
        <v>2.3E-2</v>
      </c>
      <c r="G50" s="39">
        <v>46790</v>
      </c>
      <c r="H50" s="39">
        <v>46804</v>
      </c>
      <c r="I50" s="40">
        <v>2.5123287671232877</v>
      </c>
      <c r="J50" s="41">
        <v>100</v>
      </c>
      <c r="K50" s="42">
        <v>24.2</v>
      </c>
      <c r="L50" s="43">
        <v>0.79545454545454541</v>
      </c>
      <c r="M50" s="44">
        <v>106.55</v>
      </c>
      <c r="N50" s="45">
        <v>0.33948571428571422</v>
      </c>
      <c r="O50" s="100">
        <v>12629.999999999996</v>
      </c>
      <c r="P50" s="46">
        <v>1</v>
      </c>
      <c r="Q50" s="47">
        <v>2000</v>
      </c>
      <c r="R50" s="46">
        <v>0.21299999999999999</v>
      </c>
      <c r="S50" s="48" t="s">
        <v>27</v>
      </c>
      <c r="T50" s="49"/>
      <c r="U50" s="53"/>
      <c r="V50" s="51" t="str">
        <f t="shared" si="2"/>
        <v>旭軟二</v>
      </c>
      <c r="W50" s="52">
        <v>3.0000000000000001E-3</v>
      </c>
    </row>
    <row r="51" spans="1:23" s="7" customFormat="1" ht="17.25" customHeight="1" x14ac:dyDescent="0.4">
      <c r="A51" s="36" t="s">
        <v>119</v>
      </c>
      <c r="B51" s="37">
        <v>34163</v>
      </c>
      <c r="C51" s="37" t="s">
        <v>69</v>
      </c>
      <c r="D51" s="38" t="s">
        <v>77</v>
      </c>
      <c r="E51" s="98">
        <v>1.0100000000000001E-2</v>
      </c>
      <c r="F51" s="99">
        <v>2.75E-2</v>
      </c>
      <c r="G51" s="39">
        <v>46034</v>
      </c>
      <c r="H51" s="39">
        <v>46047</v>
      </c>
      <c r="I51" s="40">
        <v>0.43835616438356162</v>
      </c>
      <c r="J51" s="41">
        <v>100.5</v>
      </c>
      <c r="K51" s="42">
        <v>127.1</v>
      </c>
      <c r="L51" s="43">
        <v>1.2391817466561763</v>
      </c>
      <c r="M51" s="44">
        <v>128.5</v>
      </c>
      <c r="N51" s="45">
        <v>3.6974603174603146E-2</v>
      </c>
      <c r="O51" s="100">
        <v>29509.999999999996</v>
      </c>
      <c r="P51" s="46">
        <v>1</v>
      </c>
      <c r="Q51" s="47">
        <v>5000</v>
      </c>
      <c r="R51" s="46">
        <v>0.28599999999999998</v>
      </c>
      <c r="S51" s="48" t="s">
        <v>28</v>
      </c>
      <c r="T51" s="49"/>
      <c r="U51" s="53"/>
      <c r="V51" s="51" t="str">
        <f t="shared" si="2"/>
        <v>融程電三</v>
      </c>
      <c r="W51" s="52">
        <v>3.0000000000000001E-3</v>
      </c>
    </row>
    <row r="52" spans="1:23" s="7" customFormat="1" ht="17.25" customHeight="1" x14ac:dyDescent="0.4">
      <c r="A52" s="36" t="s">
        <v>120</v>
      </c>
      <c r="B52" s="37">
        <v>34793</v>
      </c>
      <c r="C52" s="37" t="s">
        <v>69</v>
      </c>
      <c r="D52" s="38" t="s">
        <v>77</v>
      </c>
      <c r="E52" s="98">
        <v>4.6000000000000006E-2</v>
      </c>
      <c r="F52" s="99">
        <v>0.03</v>
      </c>
      <c r="G52" s="39">
        <v>46395</v>
      </c>
      <c r="H52" s="39">
        <v>46409</v>
      </c>
      <c r="I52" s="40">
        <v>1.4301369863013698</v>
      </c>
      <c r="J52" s="41">
        <v>100</v>
      </c>
      <c r="K52" s="42">
        <v>109.3</v>
      </c>
      <c r="L52" s="43">
        <v>0.95608417200365958</v>
      </c>
      <c r="M52" s="44">
        <v>114.5</v>
      </c>
      <c r="N52" s="45">
        <v>0.19759330143540674</v>
      </c>
      <c r="O52" s="100">
        <v>19100</v>
      </c>
      <c r="P52" s="46">
        <v>1</v>
      </c>
      <c r="Q52" s="47">
        <v>6500</v>
      </c>
      <c r="R52" s="46">
        <v>0.2</v>
      </c>
      <c r="S52" s="48" t="s">
        <v>28</v>
      </c>
      <c r="T52" s="49"/>
      <c r="U52" s="53"/>
      <c r="V52" s="51" t="str">
        <f t="shared" si="2"/>
        <v>安勤三</v>
      </c>
      <c r="W52" s="52">
        <v>3.0000000000000001E-3</v>
      </c>
    </row>
    <row r="53" spans="1:23" s="7" customFormat="1" ht="17.25" customHeight="1" x14ac:dyDescent="0.4">
      <c r="A53" s="36" t="s">
        <v>121</v>
      </c>
      <c r="B53" s="37">
        <v>34912</v>
      </c>
      <c r="C53" s="37" t="s">
        <v>69</v>
      </c>
      <c r="D53" s="38" t="s">
        <v>77</v>
      </c>
      <c r="E53" s="98">
        <v>6.3899999999999998E-2</v>
      </c>
      <c r="F53" s="99">
        <v>0.03</v>
      </c>
      <c r="G53" s="39">
        <v>46615</v>
      </c>
      <c r="H53" s="39">
        <v>46627</v>
      </c>
      <c r="I53" s="40">
        <v>2.0273972602739727</v>
      </c>
      <c r="J53" s="41">
        <v>100</v>
      </c>
      <c r="K53" s="42">
        <v>299.60000000000002</v>
      </c>
      <c r="L53" s="43">
        <v>1.1632176234979972</v>
      </c>
      <c r="M53" s="44">
        <v>128.6</v>
      </c>
      <c r="N53" s="45">
        <v>0.10555408895265438</v>
      </c>
      <c r="O53" s="100">
        <v>34989.999999999993</v>
      </c>
      <c r="P53" s="46">
        <v>0.66049999999999998</v>
      </c>
      <c r="Q53" s="47">
        <v>10000</v>
      </c>
      <c r="R53" s="46">
        <v>0.435</v>
      </c>
      <c r="S53" s="48" t="s">
        <v>28</v>
      </c>
      <c r="T53" s="49"/>
      <c r="U53" s="53"/>
      <c r="V53" s="51" t="str">
        <f t="shared" si="2"/>
        <v>昇達科二</v>
      </c>
      <c r="W53" s="52">
        <v>3.0000000000000001E-3</v>
      </c>
    </row>
    <row r="54" spans="1:23" s="7" customFormat="1" ht="17.25" customHeight="1" x14ac:dyDescent="0.4">
      <c r="A54" s="36" t="s">
        <v>122</v>
      </c>
      <c r="B54" s="37">
        <v>35161</v>
      </c>
      <c r="C54" s="37" t="s">
        <v>123</v>
      </c>
      <c r="D54" s="38" t="s">
        <v>66</v>
      </c>
      <c r="E54" s="98">
        <v>5.2900000000000003E-2</v>
      </c>
      <c r="F54" s="99">
        <v>2.3E-2</v>
      </c>
      <c r="G54" s="39">
        <v>46664</v>
      </c>
      <c r="H54" s="39">
        <v>46678</v>
      </c>
      <c r="I54" s="40">
        <v>2.1671232876712327</v>
      </c>
      <c r="J54" s="41">
        <v>100</v>
      </c>
      <c r="K54" s="42">
        <v>25.81</v>
      </c>
      <c r="L54" s="43">
        <v>0.79426578845408757</v>
      </c>
      <c r="M54" s="44">
        <v>108.25</v>
      </c>
      <c r="N54" s="45">
        <v>0.36289390243902442</v>
      </c>
      <c r="O54" s="100">
        <v>13540.000000000002</v>
      </c>
      <c r="P54" s="46">
        <v>1</v>
      </c>
      <c r="Q54" s="47">
        <v>3500</v>
      </c>
      <c r="R54" s="46">
        <v>0.19400000000000001</v>
      </c>
      <c r="S54" s="48" t="s">
        <v>27</v>
      </c>
      <c r="T54" s="49"/>
      <c r="U54" s="53"/>
      <c r="V54" s="51" t="str">
        <f t="shared" si="2"/>
        <v>亞帝歐一</v>
      </c>
      <c r="W54" s="52">
        <v>3.0000000000000001E-3</v>
      </c>
    </row>
    <row r="55" spans="1:23" s="7" customFormat="1" ht="17.25" customHeight="1" x14ac:dyDescent="0.4">
      <c r="A55" s="36" t="s">
        <v>124</v>
      </c>
      <c r="B55" s="37">
        <v>35181</v>
      </c>
      <c r="C55" s="37" t="s">
        <v>125</v>
      </c>
      <c r="D55" s="38" t="s">
        <v>60</v>
      </c>
      <c r="E55" s="98">
        <v>4.8900000000000006E-2</v>
      </c>
      <c r="F55" s="99">
        <v>2.3E-2</v>
      </c>
      <c r="G55" s="39">
        <v>46601</v>
      </c>
      <c r="H55" s="39">
        <v>46614</v>
      </c>
      <c r="I55" s="40">
        <v>1.9917808219178081</v>
      </c>
      <c r="J55" s="41">
        <v>100</v>
      </c>
      <c r="K55" s="42">
        <v>35</v>
      </c>
      <c r="L55" s="43">
        <v>0.61714285714285722</v>
      </c>
      <c r="M55" s="44">
        <v>105.5</v>
      </c>
      <c r="N55" s="45">
        <v>0.70949074074074048</v>
      </c>
      <c r="O55" s="100">
        <v>10390</v>
      </c>
      <c r="P55" s="46">
        <v>1</v>
      </c>
      <c r="Q55" s="47">
        <v>3000</v>
      </c>
      <c r="R55" s="46">
        <v>0.56599999999999995</v>
      </c>
      <c r="S55" s="48" t="s">
        <v>27</v>
      </c>
      <c r="T55" s="49"/>
      <c r="U55" s="53"/>
      <c r="V55" s="51" t="str">
        <f t="shared" si="2"/>
        <v>柏騰一</v>
      </c>
      <c r="W55" s="52">
        <v>3.0000000000000001E-3</v>
      </c>
    </row>
    <row r="56" spans="1:23" s="7" customFormat="1" ht="17.25" customHeight="1" x14ac:dyDescent="0.4">
      <c r="A56" s="36" t="s">
        <v>126</v>
      </c>
      <c r="B56" s="37">
        <v>35221</v>
      </c>
      <c r="C56" s="37" t="s">
        <v>127</v>
      </c>
      <c r="D56" s="38" t="s">
        <v>106</v>
      </c>
      <c r="E56" s="98">
        <v>3.0000000000000035E-4</v>
      </c>
      <c r="F56" s="99">
        <v>2.1999999999999999E-2</v>
      </c>
      <c r="G56" s="39">
        <v>45995</v>
      </c>
      <c r="H56" s="39">
        <v>46009</v>
      </c>
      <c r="I56" s="40">
        <v>0.33424657534246577</v>
      </c>
      <c r="J56" s="41">
        <v>101.0025</v>
      </c>
      <c r="K56" s="42">
        <v>18.600000000000001</v>
      </c>
      <c r="L56" s="43">
        <v>0.69892473118279563</v>
      </c>
      <c r="M56" s="44">
        <v>102.15</v>
      </c>
      <c r="N56" s="45">
        <v>0.46153076923076936</v>
      </c>
      <c r="O56" s="100">
        <v>2180.0000000000059</v>
      </c>
      <c r="P56" s="46">
        <v>0.82066666666666666</v>
      </c>
      <c r="Q56" s="47">
        <v>1500</v>
      </c>
      <c r="R56" s="46">
        <v>0.193</v>
      </c>
      <c r="S56" s="48" t="s">
        <v>27</v>
      </c>
      <c r="T56" s="49"/>
      <c r="U56" s="53"/>
      <c r="V56" s="51" t="str">
        <f t="shared" si="2"/>
        <v>御嵿一</v>
      </c>
      <c r="W56" s="52">
        <v>3.0000000000000001E-3</v>
      </c>
    </row>
    <row r="57" spans="1:23" s="7" customFormat="1" ht="17.25" customHeight="1" x14ac:dyDescent="0.4">
      <c r="A57" s="36" t="s">
        <v>128</v>
      </c>
      <c r="B57" s="37">
        <v>35267</v>
      </c>
      <c r="C57" s="37" t="s">
        <v>69</v>
      </c>
      <c r="D57" s="38" t="s">
        <v>77</v>
      </c>
      <c r="E57" s="98">
        <v>9.11E-2</v>
      </c>
      <c r="F57" s="99">
        <v>0.03</v>
      </c>
      <c r="G57" s="39">
        <v>46944</v>
      </c>
      <c r="H57" s="39">
        <v>46958</v>
      </c>
      <c r="I57" s="40">
        <v>2.9342465753424656</v>
      </c>
      <c r="J57" s="41">
        <v>100</v>
      </c>
      <c r="K57" s="42">
        <v>269.60000000000002</v>
      </c>
      <c r="L57" s="43">
        <v>0.94213649851632042</v>
      </c>
      <c r="M57" s="44">
        <v>115.6</v>
      </c>
      <c r="N57" s="45">
        <v>0.2269984251968504</v>
      </c>
      <c r="O57" s="100">
        <v>24709.999999999993</v>
      </c>
      <c r="P57" s="46">
        <v>1</v>
      </c>
      <c r="Q57" s="47">
        <v>15000</v>
      </c>
      <c r="R57" s="46">
        <v>0.371</v>
      </c>
      <c r="S57" s="48" t="s">
        <v>28</v>
      </c>
      <c r="T57" s="49"/>
      <c r="U57" s="53"/>
      <c r="V57" s="51" t="str">
        <f t="shared" si="2"/>
        <v>凡甲七</v>
      </c>
      <c r="W57" s="52">
        <v>3.0000000000000001E-3</v>
      </c>
    </row>
    <row r="58" spans="1:23" s="7" customFormat="1" ht="17.25" customHeight="1" x14ac:dyDescent="0.4">
      <c r="A58" s="36" t="s">
        <v>129</v>
      </c>
      <c r="B58" s="37">
        <v>35482</v>
      </c>
      <c r="C58" s="37" t="s">
        <v>69</v>
      </c>
      <c r="D58" s="38" t="s">
        <v>72</v>
      </c>
      <c r="E58" s="98">
        <v>4.2000000000000003E-2</v>
      </c>
      <c r="F58" s="99">
        <v>2.8000000000000001E-2</v>
      </c>
      <c r="G58" s="39">
        <v>46381</v>
      </c>
      <c r="H58" s="39">
        <v>46395</v>
      </c>
      <c r="I58" s="40">
        <v>1.3917808219178083</v>
      </c>
      <c r="J58" s="41">
        <v>100</v>
      </c>
      <c r="K58" s="42">
        <v>194.2</v>
      </c>
      <c r="L58" s="43">
        <v>0.5895983522142122</v>
      </c>
      <c r="M58" s="44">
        <v>103.75</v>
      </c>
      <c r="N58" s="45">
        <v>0.75967248908296925</v>
      </c>
      <c r="O58" s="100">
        <v>7950</v>
      </c>
      <c r="P58" s="46">
        <v>0.99987499999999996</v>
      </c>
      <c r="Q58" s="47">
        <v>8000</v>
      </c>
      <c r="R58" s="46">
        <v>0.28899999999999998</v>
      </c>
      <c r="S58" s="48" t="s">
        <v>28</v>
      </c>
      <c r="T58" s="49"/>
      <c r="U58" s="53"/>
      <c r="V58" s="51" t="str">
        <f t="shared" si="2"/>
        <v>兆利二</v>
      </c>
      <c r="W58" s="52">
        <v>3.0000000000000001E-3</v>
      </c>
    </row>
    <row r="59" spans="1:23" s="7" customFormat="1" ht="17.25" customHeight="1" x14ac:dyDescent="0.4">
      <c r="A59" s="36" t="s">
        <v>130</v>
      </c>
      <c r="B59" s="37">
        <v>35483</v>
      </c>
      <c r="C59" s="37" t="s">
        <v>69</v>
      </c>
      <c r="D59" s="38" t="s">
        <v>72</v>
      </c>
      <c r="E59" s="98">
        <v>6.6100000000000006E-2</v>
      </c>
      <c r="F59" s="99">
        <v>2.5000000000000001E-2</v>
      </c>
      <c r="G59" s="39">
        <v>46794</v>
      </c>
      <c r="H59" s="39">
        <v>46808</v>
      </c>
      <c r="I59" s="40">
        <v>2.5232876712328767</v>
      </c>
      <c r="J59" s="41">
        <v>100</v>
      </c>
      <c r="K59" s="42">
        <v>170</v>
      </c>
      <c r="L59" s="43">
        <v>0.67352941176470593</v>
      </c>
      <c r="M59" s="44">
        <v>101.3</v>
      </c>
      <c r="N59" s="45">
        <v>0.50401746724890817</v>
      </c>
      <c r="O59" s="100">
        <v>7909.9999999999973</v>
      </c>
      <c r="P59" s="46">
        <v>1</v>
      </c>
      <c r="Q59" s="47">
        <v>15000</v>
      </c>
      <c r="R59" s="46">
        <v>0.28899999999999998</v>
      </c>
      <c r="S59" s="48" t="s">
        <v>28</v>
      </c>
      <c r="T59" s="49"/>
      <c r="U59" s="53"/>
      <c r="V59" s="51" t="str">
        <f t="shared" si="2"/>
        <v>兆利三</v>
      </c>
      <c r="W59" s="52">
        <v>3.0000000000000001E-3</v>
      </c>
    </row>
    <row r="60" spans="1:23" s="7" customFormat="1" ht="17.25" customHeight="1" x14ac:dyDescent="0.4">
      <c r="A60" s="36" t="s">
        <v>131</v>
      </c>
      <c r="B60" s="37">
        <v>35831</v>
      </c>
      <c r="C60" s="37" t="s">
        <v>69</v>
      </c>
      <c r="D60" s="38" t="s">
        <v>72</v>
      </c>
      <c r="E60" s="98">
        <v>2.5499999999999998E-2</v>
      </c>
      <c r="F60" s="99">
        <v>2.8000000000000001E-2</v>
      </c>
      <c r="G60" s="39">
        <v>46167</v>
      </c>
      <c r="H60" s="39">
        <v>46180</v>
      </c>
      <c r="I60" s="40">
        <v>0.80273972602739729</v>
      </c>
      <c r="J60" s="41">
        <v>100</v>
      </c>
      <c r="K60" s="42">
        <v>349.3</v>
      </c>
      <c r="L60" s="43">
        <v>1.0091611795018609</v>
      </c>
      <c r="M60" s="44">
        <v>119.55</v>
      </c>
      <c r="N60" s="45">
        <v>0.18464723404255309</v>
      </c>
      <c r="O60" s="100">
        <v>22099.999999999996</v>
      </c>
      <c r="P60" s="46">
        <v>1</v>
      </c>
      <c r="Q60" s="47">
        <v>2000</v>
      </c>
      <c r="R60" s="46">
        <v>0.42099999999999999</v>
      </c>
      <c r="S60" s="48" t="s">
        <v>28</v>
      </c>
      <c r="T60" s="49"/>
      <c r="U60" s="53"/>
      <c r="V60" s="51" t="str">
        <f t="shared" si="2"/>
        <v>辛耘一</v>
      </c>
      <c r="W60" s="52">
        <v>3.0000000000000001E-3</v>
      </c>
    </row>
    <row r="61" spans="1:23" s="7" customFormat="1" ht="17.25" customHeight="1" x14ac:dyDescent="0.4">
      <c r="A61" s="36" t="s">
        <v>32</v>
      </c>
      <c r="B61" s="37">
        <v>35832</v>
      </c>
      <c r="C61" s="37" t="s">
        <v>69</v>
      </c>
      <c r="D61" s="38" t="s">
        <v>72</v>
      </c>
      <c r="E61" s="98">
        <v>2.64E-2</v>
      </c>
      <c r="F61" s="99">
        <v>2.8000000000000001E-2</v>
      </c>
      <c r="G61" s="39">
        <v>46178</v>
      </c>
      <c r="H61" s="39">
        <v>46192</v>
      </c>
      <c r="I61" s="40">
        <v>0.83561643835616439</v>
      </c>
      <c r="J61" s="41">
        <v>100</v>
      </c>
      <c r="K61" s="42">
        <v>337.4</v>
      </c>
      <c r="L61" s="43">
        <v>1.0447540011855365</v>
      </c>
      <c r="M61" s="44">
        <v>124</v>
      </c>
      <c r="N61" s="45">
        <v>0.18688226950354603</v>
      </c>
      <c r="O61" s="100">
        <v>26639.999999999996</v>
      </c>
      <c r="P61" s="46">
        <v>1</v>
      </c>
      <c r="Q61" s="47">
        <v>10000</v>
      </c>
      <c r="R61" s="46">
        <v>0.42099999999999999</v>
      </c>
      <c r="S61" s="48" t="s">
        <v>28</v>
      </c>
      <c r="T61" s="49"/>
      <c r="U61" s="53"/>
      <c r="V61" s="51" t="str">
        <f t="shared" si="2"/>
        <v>辛耘二</v>
      </c>
      <c r="W61" s="52">
        <v>3.0000000000000001E-3</v>
      </c>
    </row>
    <row r="62" spans="1:23" s="7" customFormat="1" ht="17.25" customHeight="1" x14ac:dyDescent="0.4">
      <c r="A62" s="36" t="s">
        <v>132</v>
      </c>
      <c r="B62" s="37">
        <v>35871</v>
      </c>
      <c r="C62" s="37" t="s">
        <v>69</v>
      </c>
      <c r="D62" s="38" t="s">
        <v>72</v>
      </c>
      <c r="E62" s="98">
        <v>2.5699999999999997E-2</v>
      </c>
      <c r="F62" s="99">
        <v>2.7E-2</v>
      </c>
      <c r="G62" s="39">
        <v>46181</v>
      </c>
      <c r="H62" s="39">
        <v>46193</v>
      </c>
      <c r="I62" s="40">
        <v>0.83835616438356164</v>
      </c>
      <c r="J62" s="41">
        <v>100</v>
      </c>
      <c r="K62" s="42">
        <v>192</v>
      </c>
      <c r="L62" s="43">
        <v>0.97135416666666652</v>
      </c>
      <c r="M62" s="44">
        <v>119.4</v>
      </c>
      <c r="N62" s="45">
        <v>0.22921179624664897</v>
      </c>
      <c r="O62" s="100">
        <v>21970.000000000007</v>
      </c>
      <c r="P62" s="46">
        <v>0.75116666666666665</v>
      </c>
      <c r="Q62" s="47">
        <v>6000</v>
      </c>
      <c r="R62" s="46">
        <v>0.54700000000000004</v>
      </c>
      <c r="S62" s="48" t="s">
        <v>28</v>
      </c>
      <c r="T62" s="49"/>
      <c r="U62" s="53"/>
      <c r="V62" s="51" t="str">
        <f t="shared" si="2"/>
        <v>閎康一</v>
      </c>
      <c r="W62" s="52">
        <v>3.0000000000000001E-3</v>
      </c>
    </row>
    <row r="63" spans="1:23" s="7" customFormat="1" ht="17.25" customHeight="1" x14ac:dyDescent="0.4">
      <c r="A63" s="36" t="s">
        <v>133</v>
      </c>
      <c r="B63" s="37">
        <v>36173</v>
      </c>
      <c r="C63" s="37" t="s">
        <v>69</v>
      </c>
      <c r="D63" s="38" t="s">
        <v>72</v>
      </c>
      <c r="E63" s="98">
        <v>8.2300000000000012E-2</v>
      </c>
      <c r="F63" s="99">
        <v>2.8000000000000001E-2</v>
      </c>
      <c r="G63" s="39">
        <v>46906</v>
      </c>
      <c r="H63" s="39">
        <v>46920</v>
      </c>
      <c r="I63" s="40">
        <v>2.8301369863013699</v>
      </c>
      <c r="J63" s="41">
        <v>100</v>
      </c>
      <c r="K63" s="42">
        <v>287.3</v>
      </c>
      <c r="L63" s="43">
        <v>0.78663418029933863</v>
      </c>
      <c r="M63" s="44">
        <v>105.05</v>
      </c>
      <c r="N63" s="45">
        <v>0.33543650442477874</v>
      </c>
      <c r="O63" s="100">
        <v>13279.999999999998</v>
      </c>
      <c r="P63" s="46">
        <v>1</v>
      </c>
      <c r="Q63" s="47">
        <v>15000</v>
      </c>
      <c r="R63" s="46">
        <v>0.34699999999999998</v>
      </c>
      <c r="S63" s="48" t="s">
        <v>28</v>
      </c>
      <c r="T63" s="49"/>
      <c r="U63" s="53"/>
      <c r="V63" s="51" t="str">
        <f t="shared" si="2"/>
        <v>碩天三</v>
      </c>
      <c r="W63" s="52">
        <v>3.0000000000000001E-3</v>
      </c>
    </row>
    <row r="64" spans="1:23" s="7" customFormat="1" ht="17.25" customHeight="1" x14ac:dyDescent="0.4">
      <c r="A64" s="36" t="s">
        <v>134</v>
      </c>
      <c r="B64" s="37">
        <v>36534</v>
      </c>
      <c r="C64" s="37" t="s">
        <v>69</v>
      </c>
      <c r="D64" s="38" t="s">
        <v>87</v>
      </c>
      <c r="E64" s="98">
        <v>7.2900000000000006E-2</v>
      </c>
      <c r="F64" s="99">
        <v>2.5000000000000001E-2</v>
      </c>
      <c r="G64" s="39">
        <v>46895</v>
      </c>
      <c r="H64" s="39">
        <v>46907</v>
      </c>
      <c r="I64" s="40">
        <v>2.7945205479452055</v>
      </c>
      <c r="J64" s="41">
        <v>100</v>
      </c>
      <c r="K64" s="42">
        <v>1314.5</v>
      </c>
      <c r="L64" s="43">
        <v>1.1220996576645113</v>
      </c>
      <c r="M64" s="44">
        <v>124.65</v>
      </c>
      <c r="N64" s="45">
        <v>0.11086389830508482</v>
      </c>
      <c r="O64" s="100">
        <v>31940.000000000007</v>
      </c>
      <c r="P64" s="46">
        <v>1</v>
      </c>
      <c r="Q64" s="47">
        <v>30000</v>
      </c>
      <c r="R64" s="46">
        <v>0.59699999999999998</v>
      </c>
      <c r="S64" s="48" t="s">
        <v>28</v>
      </c>
      <c r="T64" s="49"/>
      <c r="U64" s="53"/>
      <c r="V64" s="51" t="str">
        <f t="shared" si="2"/>
        <v>健策四</v>
      </c>
      <c r="W64" s="52">
        <v>3.0000000000000001E-3</v>
      </c>
    </row>
    <row r="65" spans="1:23" s="7" customFormat="1" ht="17.25" customHeight="1" x14ac:dyDescent="0.4">
      <c r="A65" s="36" t="s">
        <v>135</v>
      </c>
      <c r="B65" s="37">
        <v>36535</v>
      </c>
      <c r="C65" s="37" t="s">
        <v>69</v>
      </c>
      <c r="D65" s="38" t="s">
        <v>87</v>
      </c>
      <c r="E65" s="98">
        <v>7.3599999999999999E-2</v>
      </c>
      <c r="F65" s="99">
        <v>2.5000000000000001E-2</v>
      </c>
      <c r="G65" s="39">
        <v>46903</v>
      </c>
      <c r="H65" s="39">
        <v>46917</v>
      </c>
      <c r="I65" s="40">
        <v>2.8219178082191783</v>
      </c>
      <c r="J65" s="41">
        <v>100</v>
      </c>
      <c r="K65" s="42">
        <v>1308</v>
      </c>
      <c r="L65" s="43">
        <v>1.1276758409785932</v>
      </c>
      <c r="M65" s="44">
        <v>125.15</v>
      </c>
      <c r="N65" s="45">
        <v>0.10980474576271206</v>
      </c>
      <c r="O65" s="100">
        <v>32510.000000000007</v>
      </c>
      <c r="P65" s="46">
        <v>1</v>
      </c>
      <c r="Q65" s="47">
        <v>20000</v>
      </c>
      <c r="R65" s="46">
        <v>0.59699999999999998</v>
      </c>
      <c r="S65" s="48" t="s">
        <v>28</v>
      </c>
      <c r="T65" s="49"/>
      <c r="U65" s="53"/>
      <c r="V65" s="51" t="str">
        <f t="shared" si="2"/>
        <v>健策五</v>
      </c>
      <c r="W65" s="52">
        <v>3.0000000000000001E-3</v>
      </c>
    </row>
    <row r="66" spans="1:23" s="7" customFormat="1" ht="17.25" customHeight="1" x14ac:dyDescent="0.4">
      <c r="A66" s="36" t="s">
        <v>136</v>
      </c>
      <c r="B66" s="37">
        <v>36913</v>
      </c>
      <c r="C66" s="37" t="s">
        <v>137</v>
      </c>
      <c r="D66" s="38" t="s">
        <v>66</v>
      </c>
      <c r="E66" s="98">
        <v>4.9800000000000004E-2</v>
      </c>
      <c r="F66" s="99">
        <v>2.3E-2</v>
      </c>
      <c r="G66" s="39">
        <v>46615</v>
      </c>
      <c r="H66" s="39">
        <v>46629</v>
      </c>
      <c r="I66" s="40">
        <v>2.032876712328767</v>
      </c>
      <c r="J66" s="41">
        <v>100</v>
      </c>
      <c r="K66" s="42">
        <v>118</v>
      </c>
      <c r="L66" s="43">
        <v>0.68644067796610164</v>
      </c>
      <c r="M66" s="44">
        <v>101.8</v>
      </c>
      <c r="N66" s="45">
        <v>0.48301234567901252</v>
      </c>
      <c r="O66" s="100">
        <v>6779.9999999999973</v>
      </c>
      <c r="P66" s="46">
        <v>1</v>
      </c>
      <c r="Q66" s="47">
        <v>20000</v>
      </c>
      <c r="R66" s="46">
        <v>0.315</v>
      </c>
      <c r="S66" s="48" t="s">
        <v>27</v>
      </c>
      <c r="T66" s="49"/>
      <c r="U66" s="53"/>
      <c r="V66" s="51" t="str">
        <f t="shared" si="2"/>
        <v>碩禾三</v>
      </c>
      <c r="W66" s="52">
        <v>3.0000000000000001E-3</v>
      </c>
    </row>
    <row r="67" spans="1:23" s="7" customFormat="1" ht="17.25" customHeight="1" x14ac:dyDescent="0.4">
      <c r="A67" s="36" t="s">
        <v>138</v>
      </c>
      <c r="B67" s="37">
        <v>37022</v>
      </c>
      <c r="C67" s="37" t="s">
        <v>69</v>
      </c>
      <c r="D67" s="38" t="s">
        <v>72</v>
      </c>
      <c r="E67" s="98">
        <v>7.0000000000000007E-2</v>
      </c>
      <c r="F67" s="99">
        <v>0.03</v>
      </c>
      <c r="G67" s="39">
        <v>46688</v>
      </c>
      <c r="H67" s="39">
        <v>46702</v>
      </c>
      <c r="I67" s="40">
        <v>2.2328767123287672</v>
      </c>
      <c r="J67" s="41">
        <v>100</v>
      </c>
      <c r="K67" s="42">
        <v>76.900000000000006</v>
      </c>
      <c r="L67" s="43">
        <v>0.86345903771131338</v>
      </c>
      <c r="M67" s="44">
        <v>101.6</v>
      </c>
      <c r="N67" s="45">
        <v>0.17666265060240965</v>
      </c>
      <c r="O67" s="100">
        <v>8599.9999999999945</v>
      </c>
      <c r="P67" s="46">
        <v>1</v>
      </c>
      <c r="Q67" s="47">
        <v>35000</v>
      </c>
      <c r="R67" s="46">
        <v>0.21099999999999999</v>
      </c>
      <c r="S67" s="48" t="s">
        <v>28</v>
      </c>
      <c r="T67" s="49"/>
      <c r="U67" s="53"/>
      <c r="V67" s="51" t="str">
        <f t="shared" si="2"/>
        <v>大聯大二</v>
      </c>
      <c r="W67" s="52">
        <v>3.0000000000000001E-3</v>
      </c>
    </row>
    <row r="68" spans="1:23" s="7" customFormat="1" ht="17.25" customHeight="1" x14ac:dyDescent="0.4">
      <c r="A68" s="36" t="s">
        <v>139</v>
      </c>
      <c r="B68" s="37">
        <v>37023</v>
      </c>
      <c r="C68" s="37" t="s">
        <v>69</v>
      </c>
      <c r="D68" s="38" t="s">
        <v>72</v>
      </c>
      <c r="E68" s="98">
        <v>7.0900000000000005E-2</v>
      </c>
      <c r="F68" s="99">
        <v>0.03</v>
      </c>
      <c r="G68" s="39">
        <v>46699</v>
      </c>
      <c r="H68" s="39">
        <v>46712</v>
      </c>
      <c r="I68" s="40">
        <v>2.2602739726027399</v>
      </c>
      <c r="J68" s="41">
        <v>100</v>
      </c>
      <c r="K68" s="42">
        <v>74.599999999999994</v>
      </c>
      <c r="L68" s="43">
        <v>0.89008042895442374</v>
      </c>
      <c r="M68" s="44">
        <v>102</v>
      </c>
      <c r="N68" s="45">
        <v>0.14596385542168658</v>
      </c>
      <c r="O68" s="100">
        <v>9090</v>
      </c>
      <c r="P68" s="46">
        <v>1</v>
      </c>
      <c r="Q68" s="47">
        <v>20000</v>
      </c>
      <c r="R68" s="46">
        <v>0.21099999999999999</v>
      </c>
      <c r="S68" s="48" t="s">
        <v>28</v>
      </c>
      <c r="T68" s="49"/>
      <c r="U68" s="53"/>
      <c r="V68" s="51" t="str">
        <f t="shared" si="2"/>
        <v>大聯大三</v>
      </c>
      <c r="W68" s="52">
        <v>3.0000000000000001E-3</v>
      </c>
    </row>
    <row r="69" spans="1:23" s="7" customFormat="1" ht="17.25" customHeight="1" x14ac:dyDescent="0.4">
      <c r="A69" s="36" t="s">
        <v>140</v>
      </c>
      <c r="B69" s="37">
        <v>37083</v>
      </c>
      <c r="C69" s="37" t="s">
        <v>141</v>
      </c>
      <c r="D69" s="38" t="s">
        <v>70</v>
      </c>
      <c r="E69" s="98">
        <v>2.8599999999999997E-2</v>
      </c>
      <c r="F69" s="99">
        <v>2.3E-2</v>
      </c>
      <c r="G69" s="39">
        <v>46279</v>
      </c>
      <c r="H69" s="39">
        <v>46292</v>
      </c>
      <c r="I69" s="40">
        <v>1.1095890410958904</v>
      </c>
      <c r="J69" s="41">
        <v>100</v>
      </c>
      <c r="K69" s="42">
        <v>86.4</v>
      </c>
      <c r="L69" s="43">
        <v>1.4236111111111109</v>
      </c>
      <c r="M69" s="44">
        <v>143.5</v>
      </c>
      <c r="N69" s="45">
        <v>8.0000000000001788E-3</v>
      </c>
      <c r="O69" s="100">
        <v>46360</v>
      </c>
      <c r="P69" s="46">
        <v>0.33650000000000002</v>
      </c>
      <c r="Q69" s="47">
        <v>10000</v>
      </c>
      <c r="R69" s="46">
        <v>0.45700000000000002</v>
      </c>
      <c r="S69" s="48" t="s">
        <v>27</v>
      </c>
      <c r="T69" s="49" t="s">
        <v>3</v>
      </c>
      <c r="U69" s="53"/>
      <c r="V69" s="51" t="str">
        <f t="shared" si="2"/>
        <v>上緯投控三</v>
      </c>
      <c r="W69" s="52">
        <v>3.0000000000000001E-3</v>
      </c>
    </row>
    <row r="70" spans="1:23" s="7" customFormat="1" ht="17.25" customHeight="1" x14ac:dyDescent="0.4">
      <c r="A70" s="36" t="s">
        <v>142</v>
      </c>
      <c r="B70" s="37">
        <v>41236</v>
      </c>
      <c r="C70" s="37" t="s">
        <v>143</v>
      </c>
      <c r="D70" s="38" t="s">
        <v>70</v>
      </c>
      <c r="E70" s="98">
        <v>6.4899999999999999E-2</v>
      </c>
      <c r="F70" s="99">
        <v>2.3E-2</v>
      </c>
      <c r="G70" s="39">
        <v>46855</v>
      </c>
      <c r="H70" s="39">
        <v>46869</v>
      </c>
      <c r="I70" s="40">
        <v>2.6904109589041094</v>
      </c>
      <c r="J70" s="41">
        <v>100</v>
      </c>
      <c r="K70" s="42">
        <v>41.3</v>
      </c>
      <c r="L70" s="43">
        <v>0.91041162227602912</v>
      </c>
      <c r="M70" s="44">
        <v>111</v>
      </c>
      <c r="N70" s="45">
        <v>0.21922872340425525</v>
      </c>
      <c r="O70" s="100">
        <v>17490</v>
      </c>
      <c r="P70" s="46">
        <v>0.90885714285714281</v>
      </c>
      <c r="Q70" s="47">
        <v>7000</v>
      </c>
      <c r="R70" s="46">
        <v>0.20599999999999999</v>
      </c>
      <c r="S70" s="48" t="s">
        <v>27</v>
      </c>
      <c r="T70" s="49"/>
      <c r="U70" s="53"/>
      <c r="V70" s="51" t="str">
        <f t="shared" si="2"/>
        <v>晟德六</v>
      </c>
      <c r="W70" s="52">
        <v>3.0000000000000001E-3</v>
      </c>
    </row>
    <row r="71" spans="1:23" s="7" customFormat="1" ht="17.25" customHeight="1" x14ac:dyDescent="0.4">
      <c r="A71" s="36" t="s">
        <v>144</v>
      </c>
      <c r="B71" s="37">
        <v>41295</v>
      </c>
      <c r="C71" s="37" t="s">
        <v>69</v>
      </c>
      <c r="D71" s="38" t="s">
        <v>70</v>
      </c>
      <c r="E71" s="98">
        <v>9.2300000000000007E-2</v>
      </c>
      <c r="F71" s="99">
        <v>3.7499999999999999E-2</v>
      </c>
      <c r="G71" s="39">
        <v>46888</v>
      </c>
      <c r="H71" s="39">
        <v>46902</v>
      </c>
      <c r="I71" s="40">
        <v>2.7808219178082192</v>
      </c>
      <c r="J71" s="41">
        <v>101.50749999999999</v>
      </c>
      <c r="K71" s="42">
        <v>105.6</v>
      </c>
      <c r="L71" s="43">
        <v>1.0085227272727273</v>
      </c>
      <c r="M71" s="44">
        <v>117</v>
      </c>
      <c r="N71" s="45">
        <v>0.16011267605633794</v>
      </c>
      <c r="O71" s="100">
        <v>26230.000000000004</v>
      </c>
      <c r="P71" s="46">
        <v>1</v>
      </c>
      <c r="Q71" s="47">
        <v>7000</v>
      </c>
      <c r="R71" s="46">
        <v>0.42599999999999999</v>
      </c>
      <c r="S71" s="48" t="s">
        <v>28</v>
      </c>
      <c r="T71" s="49"/>
      <c r="U71" s="53"/>
      <c r="V71" s="51" t="str">
        <f t="shared" si="2"/>
        <v>聯合五</v>
      </c>
      <c r="W71" s="52">
        <v>3.0000000000000001E-3</v>
      </c>
    </row>
    <row r="72" spans="1:23" s="7" customFormat="1" ht="17.25" customHeight="1" x14ac:dyDescent="0.4">
      <c r="A72" s="36" t="s">
        <v>145</v>
      </c>
      <c r="B72" s="37">
        <v>41645</v>
      </c>
      <c r="C72" s="37" t="s">
        <v>69</v>
      </c>
      <c r="D72" s="38" t="s">
        <v>70</v>
      </c>
      <c r="E72" s="98">
        <v>0.1163</v>
      </c>
      <c r="F72" s="99">
        <v>4.2500000000000003E-2</v>
      </c>
      <c r="G72" s="39">
        <v>46910</v>
      </c>
      <c r="H72" s="39">
        <v>46924</v>
      </c>
      <c r="I72" s="40">
        <v>2.8410958904109589</v>
      </c>
      <c r="J72" s="41">
        <v>100.752</v>
      </c>
      <c r="K72" s="42">
        <v>47</v>
      </c>
      <c r="L72" s="43">
        <v>0.99893617021276593</v>
      </c>
      <c r="M72" s="44">
        <v>111.2</v>
      </c>
      <c r="N72" s="45">
        <v>0.1131842385516507</v>
      </c>
      <c r="O72" s="100">
        <v>22830.000000000004</v>
      </c>
      <c r="P72" s="46">
        <v>1</v>
      </c>
      <c r="Q72" s="47">
        <v>9000</v>
      </c>
      <c r="R72" s="46">
        <v>0.254</v>
      </c>
      <c r="S72" s="48" t="s">
        <v>28</v>
      </c>
      <c r="T72" s="49"/>
      <c r="U72" s="53"/>
      <c r="V72" s="51" t="str">
        <f t="shared" si="2"/>
        <v>承業醫五</v>
      </c>
      <c r="W72" s="52">
        <v>3.0000000000000001E-3</v>
      </c>
    </row>
    <row r="73" spans="1:23" s="7" customFormat="1" ht="17.25" customHeight="1" x14ac:dyDescent="0.4">
      <c r="A73" s="36" t="s">
        <v>146</v>
      </c>
      <c r="B73" s="37">
        <v>44163</v>
      </c>
      <c r="C73" s="37" t="s">
        <v>141</v>
      </c>
      <c r="D73" s="38" t="s">
        <v>60</v>
      </c>
      <c r="E73" s="98">
        <v>6.6E-3</v>
      </c>
      <c r="F73" s="99">
        <v>2.1999999999999999E-2</v>
      </c>
      <c r="G73" s="39">
        <v>46281</v>
      </c>
      <c r="H73" s="101">
        <v>46295</v>
      </c>
      <c r="I73" s="40">
        <v>1.1178082191780823</v>
      </c>
      <c r="J73" s="41">
        <v>102.1</v>
      </c>
      <c r="K73" s="42">
        <v>66.8</v>
      </c>
      <c r="L73" s="43">
        <v>0.93862275449101806</v>
      </c>
      <c r="M73" s="44">
        <v>105.2</v>
      </c>
      <c r="N73" s="45">
        <v>0.12079106858054224</v>
      </c>
      <c r="O73" s="100">
        <v>5860.0000000000027</v>
      </c>
      <c r="P73" s="46">
        <v>0.95589999999999997</v>
      </c>
      <c r="Q73" s="47">
        <v>10000</v>
      </c>
      <c r="R73" s="46">
        <v>0.151</v>
      </c>
      <c r="S73" s="48" t="s">
        <v>27</v>
      </c>
      <c r="T73" s="49" t="s">
        <v>29</v>
      </c>
      <c r="U73" s="53"/>
      <c r="V73" s="51" t="str">
        <f t="shared" si="2"/>
        <v>三圓三</v>
      </c>
      <c r="W73" s="52">
        <v>3.0000000000000001E-3</v>
      </c>
    </row>
    <row r="74" spans="1:23" s="7" customFormat="1" ht="16" customHeight="1" x14ac:dyDescent="0.4">
      <c r="A74" s="36" t="s">
        <v>147</v>
      </c>
      <c r="B74" s="37">
        <v>44382</v>
      </c>
      <c r="C74" s="37" t="s">
        <v>69</v>
      </c>
      <c r="D74" s="38" t="s">
        <v>72</v>
      </c>
      <c r="E74" s="98">
        <v>6.6E-3</v>
      </c>
      <c r="F74" s="99">
        <v>2.8000000000000001E-2</v>
      </c>
      <c r="G74" s="39">
        <v>45919</v>
      </c>
      <c r="H74" s="39">
        <v>45933</v>
      </c>
      <c r="I74" s="40">
        <v>0.12602739726027398</v>
      </c>
      <c r="J74" s="41">
        <v>100</v>
      </c>
      <c r="K74" s="42">
        <v>118.6</v>
      </c>
      <c r="L74" s="43">
        <v>0.59021922428330531</v>
      </c>
      <c r="M74" s="44">
        <v>99.5</v>
      </c>
      <c r="N74" s="45">
        <v>0.68581428571428538</v>
      </c>
      <c r="O74" s="100">
        <v>160</v>
      </c>
      <c r="P74" s="46">
        <v>1</v>
      </c>
      <c r="Q74" s="47">
        <v>15000</v>
      </c>
      <c r="R74" s="46">
        <v>0.28699999999999998</v>
      </c>
      <c r="S74" s="48" t="s">
        <v>28</v>
      </c>
      <c r="T74" s="49"/>
      <c r="U74" s="53"/>
      <c r="V74" s="51" t="str">
        <f t="shared" si="2"/>
        <v>廣越二</v>
      </c>
      <c r="W74" s="52">
        <v>3.0000000000000001E-3</v>
      </c>
    </row>
    <row r="75" spans="1:23" s="7" customFormat="1" ht="17.25" customHeight="1" x14ac:dyDescent="0.4">
      <c r="A75" s="36" t="s">
        <v>148</v>
      </c>
      <c r="B75" s="37">
        <v>45401</v>
      </c>
      <c r="C75" s="37" t="s">
        <v>141</v>
      </c>
      <c r="D75" s="38" t="s">
        <v>66</v>
      </c>
      <c r="E75" s="98">
        <v>7.1000000000000004E-3</v>
      </c>
      <c r="F75" s="99">
        <v>2.1999999999999999E-2</v>
      </c>
      <c r="G75" s="39">
        <v>45940</v>
      </c>
      <c r="H75" s="39">
        <v>45954</v>
      </c>
      <c r="I75" s="40">
        <v>0.18356164383561643</v>
      </c>
      <c r="J75" s="41">
        <v>100</v>
      </c>
      <c r="K75" s="42">
        <v>38.9</v>
      </c>
      <c r="L75" s="43">
        <v>1.1233933161953729</v>
      </c>
      <c r="M75" s="44">
        <v>113</v>
      </c>
      <c r="N75" s="45">
        <v>5.8810068649884206E-3</v>
      </c>
      <c r="O75" s="100">
        <v>13710</v>
      </c>
      <c r="P75" s="46">
        <v>0.18779999999999999</v>
      </c>
      <c r="Q75" s="47">
        <v>5000</v>
      </c>
      <c r="R75" s="46">
        <v>0.32600000000000001</v>
      </c>
      <c r="S75" s="48" t="s">
        <v>27</v>
      </c>
      <c r="T75" s="49"/>
      <c r="U75" s="53"/>
      <c r="V75" s="51" t="str">
        <f t="shared" si="2"/>
        <v>全球傳動一</v>
      </c>
      <c r="W75" s="52">
        <v>3.0000000000000001E-3</v>
      </c>
    </row>
    <row r="76" spans="1:23" s="7" customFormat="1" ht="17.25" customHeight="1" x14ac:dyDescent="0.4">
      <c r="A76" s="36" t="s">
        <v>149</v>
      </c>
      <c r="B76" s="37">
        <v>45554</v>
      </c>
      <c r="C76" s="37" t="s">
        <v>150</v>
      </c>
      <c r="D76" s="38" t="s">
        <v>66</v>
      </c>
      <c r="E76" s="98">
        <v>6.770000000000001E-2</v>
      </c>
      <c r="F76" s="99">
        <v>2.3E-2</v>
      </c>
      <c r="G76" s="39">
        <v>46899</v>
      </c>
      <c r="H76" s="39">
        <v>46913</v>
      </c>
      <c r="I76" s="40">
        <v>2.8109589041095893</v>
      </c>
      <c r="J76" s="41">
        <v>100</v>
      </c>
      <c r="K76" s="42">
        <v>43.4</v>
      </c>
      <c r="L76" s="43">
        <v>0.93663594470046097</v>
      </c>
      <c r="M76" s="44">
        <v>104.5</v>
      </c>
      <c r="N76" s="45">
        <v>0.11569495694956938</v>
      </c>
      <c r="O76" s="100">
        <v>11270</v>
      </c>
      <c r="P76" s="46">
        <v>1</v>
      </c>
      <c r="Q76" s="47">
        <v>5000</v>
      </c>
      <c r="R76" s="46">
        <v>0.35599999999999998</v>
      </c>
      <c r="S76" s="48" t="s">
        <v>27</v>
      </c>
      <c r="T76" s="49"/>
      <c r="U76" s="53"/>
      <c r="V76" s="51" t="str">
        <f t="shared" si="2"/>
        <v>氣立四</v>
      </c>
      <c r="W76" s="52">
        <v>3.0000000000000001E-3</v>
      </c>
    </row>
    <row r="77" spans="1:23" s="7" customFormat="1" ht="17.25" customHeight="1" x14ac:dyDescent="0.4">
      <c r="A77" s="36" t="s">
        <v>151</v>
      </c>
      <c r="B77" s="37">
        <v>47393</v>
      </c>
      <c r="C77" s="37" t="s">
        <v>152</v>
      </c>
      <c r="D77" s="38" t="s">
        <v>77</v>
      </c>
      <c r="E77" s="98">
        <v>3.0499999999999999E-2</v>
      </c>
      <c r="F77" s="99">
        <v>2.3E-2</v>
      </c>
      <c r="G77" s="39">
        <v>46309</v>
      </c>
      <c r="H77" s="39">
        <v>46323</v>
      </c>
      <c r="I77" s="40">
        <v>1.1945205479452055</v>
      </c>
      <c r="J77" s="41">
        <v>100</v>
      </c>
      <c r="K77" s="42">
        <v>98.5</v>
      </c>
      <c r="L77" s="43">
        <v>0.58375634517766495</v>
      </c>
      <c r="M77" s="44">
        <v>103.5</v>
      </c>
      <c r="N77" s="45">
        <v>0.77300000000000013</v>
      </c>
      <c r="O77" s="100">
        <v>6550</v>
      </c>
      <c r="P77" s="46">
        <v>0.9921428571428571</v>
      </c>
      <c r="Q77" s="47">
        <v>7000</v>
      </c>
      <c r="R77" s="46">
        <v>0.50600000000000001</v>
      </c>
      <c r="S77" s="48" t="s">
        <v>27</v>
      </c>
      <c r="T77" s="49"/>
      <c r="U77" s="53"/>
      <c r="V77" s="51" t="str">
        <f t="shared" si="2"/>
        <v>康普三</v>
      </c>
      <c r="W77" s="52">
        <v>3.0000000000000001E-3</v>
      </c>
    </row>
    <row r="78" spans="1:23" s="7" customFormat="1" ht="17.25" customHeight="1" x14ac:dyDescent="0.4">
      <c r="A78" s="36" t="s">
        <v>153</v>
      </c>
      <c r="B78" s="37">
        <v>49066</v>
      </c>
      <c r="C78" s="37" t="s">
        <v>69</v>
      </c>
      <c r="D78" s="38" t="s">
        <v>77</v>
      </c>
      <c r="E78" s="98">
        <v>3.2599999999999997E-2</v>
      </c>
      <c r="F78" s="99">
        <v>3.7499999999999999E-2</v>
      </c>
      <c r="G78" s="39">
        <v>46161</v>
      </c>
      <c r="H78" s="39">
        <v>46175</v>
      </c>
      <c r="I78" s="40">
        <v>0.78904109589041094</v>
      </c>
      <c r="J78" s="41">
        <v>100</v>
      </c>
      <c r="K78" s="42">
        <v>26.6</v>
      </c>
      <c r="L78" s="43">
        <v>0.88721804511278191</v>
      </c>
      <c r="M78" s="44">
        <v>106.95</v>
      </c>
      <c r="N78" s="45">
        <v>0.20545338983050854</v>
      </c>
      <c r="O78" s="100">
        <v>10210.000000000002</v>
      </c>
      <c r="P78" s="46">
        <v>0.43013333333333331</v>
      </c>
      <c r="Q78" s="47">
        <v>15000</v>
      </c>
      <c r="R78" s="46">
        <v>0.27100000000000002</v>
      </c>
      <c r="S78" s="48" t="s">
        <v>28</v>
      </c>
      <c r="T78" s="49"/>
      <c r="U78" s="53"/>
      <c r="V78" s="51" t="str">
        <f t="shared" si="2"/>
        <v>正文六</v>
      </c>
      <c r="W78" s="52">
        <v>3.0000000000000001E-3</v>
      </c>
    </row>
    <row r="79" spans="1:23" s="7" customFormat="1" ht="17.25" customHeight="1" x14ac:dyDescent="0.4">
      <c r="A79" s="36" t="s">
        <v>154</v>
      </c>
      <c r="B79" s="37">
        <v>49793</v>
      </c>
      <c r="C79" s="37" t="s">
        <v>69</v>
      </c>
      <c r="D79" s="38" t="s">
        <v>70</v>
      </c>
      <c r="E79" s="98">
        <v>4.5400000000000003E-2</v>
      </c>
      <c r="F79" s="99">
        <v>0.04</v>
      </c>
      <c r="G79" s="39">
        <v>46351</v>
      </c>
      <c r="H79" s="39">
        <v>46365</v>
      </c>
      <c r="I79" s="40">
        <v>1.3095890410958904</v>
      </c>
      <c r="J79" s="41">
        <v>101.0025</v>
      </c>
      <c r="K79" s="42">
        <v>176.5</v>
      </c>
      <c r="L79" s="43">
        <v>1.1643059490084986</v>
      </c>
      <c r="M79" s="44">
        <v>135</v>
      </c>
      <c r="N79" s="45">
        <v>0.15948905109489056</v>
      </c>
      <c r="O79" s="100">
        <v>39540</v>
      </c>
      <c r="P79" s="46">
        <v>1</v>
      </c>
      <c r="Q79" s="47">
        <v>6000</v>
      </c>
      <c r="R79" s="46">
        <v>0.504</v>
      </c>
      <c r="S79" s="48" t="s">
        <v>28</v>
      </c>
      <c r="T79" s="49"/>
      <c r="U79" s="53"/>
      <c r="V79" s="51" t="str">
        <f t="shared" si="2"/>
        <v>華星光三</v>
      </c>
      <c r="W79" s="52">
        <v>3.0000000000000001E-3</v>
      </c>
    </row>
    <row r="80" spans="1:23" s="7" customFormat="1" ht="17.25" customHeight="1" x14ac:dyDescent="0.4">
      <c r="A80" s="36" t="s">
        <v>155</v>
      </c>
      <c r="B80" s="37">
        <v>49794</v>
      </c>
      <c r="C80" s="37" t="s">
        <v>69</v>
      </c>
      <c r="D80" s="38" t="s">
        <v>70</v>
      </c>
      <c r="E80" s="98">
        <v>5.7200000000000008E-2</v>
      </c>
      <c r="F80" s="99">
        <v>0.04</v>
      </c>
      <c r="G80" s="39">
        <v>46367</v>
      </c>
      <c r="H80" s="39">
        <v>46381</v>
      </c>
      <c r="I80" s="40">
        <v>1.3534246575342466</v>
      </c>
      <c r="J80" s="41">
        <v>100</v>
      </c>
      <c r="K80" s="42">
        <v>204.3</v>
      </c>
      <c r="L80" s="43">
        <v>1.0058737151248165</v>
      </c>
      <c r="M80" s="44">
        <v>124.4</v>
      </c>
      <c r="N80" s="45">
        <v>0.23673576642335761</v>
      </c>
      <c r="O80" s="100">
        <v>30120.000000000007</v>
      </c>
      <c r="P80" s="46">
        <v>1</v>
      </c>
      <c r="Q80" s="47">
        <v>2000</v>
      </c>
      <c r="R80" s="46">
        <v>0.504</v>
      </c>
      <c r="S80" s="48" t="s">
        <v>28</v>
      </c>
      <c r="T80" s="49"/>
      <c r="U80" s="53"/>
      <c r="V80" s="51" t="str">
        <f t="shared" si="2"/>
        <v>華星光四</v>
      </c>
      <c r="W80" s="52">
        <v>3.0000000000000001E-3</v>
      </c>
    </row>
    <row r="81" spans="1:23" s="7" customFormat="1" ht="17.25" customHeight="1" x14ac:dyDescent="0.4">
      <c r="A81" s="36" t="s">
        <v>156</v>
      </c>
      <c r="B81" s="37">
        <v>52303</v>
      </c>
      <c r="C81" s="37" t="s">
        <v>76</v>
      </c>
      <c r="D81" s="38" t="s">
        <v>66</v>
      </c>
      <c r="E81" s="98">
        <v>2.2599999999999999E-2</v>
      </c>
      <c r="F81" s="99">
        <v>2.1000000000000001E-2</v>
      </c>
      <c r="G81" s="39">
        <v>46213</v>
      </c>
      <c r="H81" s="39">
        <v>46227</v>
      </c>
      <c r="I81" s="40">
        <v>0.93150684931506844</v>
      </c>
      <c r="J81" s="41">
        <v>100</v>
      </c>
      <c r="K81" s="42">
        <v>22</v>
      </c>
      <c r="L81" s="43">
        <v>0.9</v>
      </c>
      <c r="M81" s="44">
        <v>112</v>
      </c>
      <c r="N81" s="45">
        <v>0.24444444444444444</v>
      </c>
      <c r="O81" s="100">
        <v>14260</v>
      </c>
      <c r="P81" s="46">
        <v>0.19866666666666666</v>
      </c>
      <c r="Q81" s="47">
        <v>3000</v>
      </c>
      <c r="R81" s="46">
        <v>0.218</v>
      </c>
      <c r="S81" s="48" t="s">
        <v>27</v>
      </c>
      <c r="T81" s="49"/>
      <c r="U81" s="53"/>
      <c r="V81" s="51" t="str">
        <f t="shared" si="2"/>
        <v>雷笛克光學三</v>
      </c>
      <c r="W81" s="52">
        <v>3.0000000000000001E-3</v>
      </c>
    </row>
    <row r="82" spans="1:23" s="7" customFormat="1" ht="17.25" customHeight="1" x14ac:dyDescent="0.4">
      <c r="A82" s="36" t="s">
        <v>157</v>
      </c>
      <c r="B82" s="37">
        <v>52451</v>
      </c>
      <c r="C82" s="37" t="s">
        <v>74</v>
      </c>
      <c r="D82" s="38" t="s">
        <v>66</v>
      </c>
      <c r="E82" s="98">
        <v>3.5000000000000001E-3</v>
      </c>
      <c r="F82" s="99">
        <v>2.1999999999999999E-2</v>
      </c>
      <c r="G82" s="39">
        <v>45880</v>
      </c>
      <c r="H82" s="39">
        <v>45894</v>
      </c>
      <c r="I82" s="40">
        <v>1.9178082191780823E-2</v>
      </c>
      <c r="J82" s="41">
        <v>100</v>
      </c>
      <c r="K82" s="42">
        <v>61.5</v>
      </c>
      <c r="L82" s="43">
        <v>0.45040650406504062</v>
      </c>
      <c r="M82" s="44">
        <v>99.7</v>
      </c>
      <c r="N82" s="45">
        <v>1.2135559566787004</v>
      </c>
      <c r="O82" s="100" t="s">
        <v>158</v>
      </c>
      <c r="P82" s="46">
        <v>0.51633333333333331</v>
      </c>
      <c r="Q82" s="47">
        <v>3000</v>
      </c>
      <c r="R82" s="46">
        <v>0.47099999999999997</v>
      </c>
      <c r="S82" s="48" t="s">
        <v>27</v>
      </c>
      <c r="T82" s="49" t="s">
        <v>3</v>
      </c>
      <c r="U82" s="53"/>
      <c r="V82" s="51" t="str">
        <f t="shared" ref="V82:V120" si="3">A82</f>
        <v>智晶一</v>
      </c>
      <c r="W82" s="52">
        <v>3.0000000000000001E-3</v>
      </c>
    </row>
    <row r="83" spans="1:23" s="7" customFormat="1" ht="17.25" customHeight="1" x14ac:dyDescent="0.4">
      <c r="A83" s="36" t="s">
        <v>159</v>
      </c>
      <c r="B83" s="37">
        <v>52635</v>
      </c>
      <c r="C83" s="37" t="s">
        <v>160</v>
      </c>
      <c r="D83" s="38" t="s">
        <v>66</v>
      </c>
      <c r="E83" s="98">
        <v>1.3000000000000001E-2</v>
      </c>
      <c r="F83" s="99">
        <v>2.1999999999999999E-2</v>
      </c>
      <c r="G83" s="39">
        <v>46071</v>
      </c>
      <c r="H83" s="39">
        <v>46085</v>
      </c>
      <c r="I83" s="40">
        <v>0.54246575342465753</v>
      </c>
      <c r="J83" s="41">
        <v>100.20010000000001</v>
      </c>
      <c r="K83" s="42">
        <v>110.6</v>
      </c>
      <c r="L83" s="43">
        <v>0.83092224231464751</v>
      </c>
      <c r="M83" s="44">
        <v>106.9</v>
      </c>
      <c r="N83" s="45">
        <v>0.2865223068552773</v>
      </c>
      <c r="O83" s="100">
        <v>8200.0000000000055</v>
      </c>
      <c r="P83" s="46">
        <v>0.50462499999999999</v>
      </c>
      <c r="Q83" s="47">
        <v>8000</v>
      </c>
      <c r="R83" s="46">
        <v>0.24299999999999999</v>
      </c>
      <c r="S83" s="48" t="s">
        <v>27</v>
      </c>
      <c r="T83" s="49"/>
      <c r="U83" s="53"/>
      <c r="V83" s="51" t="str">
        <f t="shared" si="3"/>
        <v>智崴五</v>
      </c>
      <c r="W83" s="52">
        <v>3.0000000000000001E-3</v>
      </c>
    </row>
    <row r="84" spans="1:23" s="7" customFormat="1" ht="17.25" customHeight="1" x14ac:dyDescent="0.4">
      <c r="A84" s="36" t="s">
        <v>161</v>
      </c>
      <c r="B84" s="37">
        <v>53064</v>
      </c>
      <c r="C84" s="37" t="s">
        <v>162</v>
      </c>
      <c r="D84" s="38" t="s">
        <v>72</v>
      </c>
      <c r="E84" s="98">
        <v>3.1199999999999999E-2</v>
      </c>
      <c r="F84" s="99">
        <v>2.3E-2</v>
      </c>
      <c r="G84" s="39">
        <v>46321</v>
      </c>
      <c r="H84" s="39">
        <v>46334</v>
      </c>
      <c r="I84" s="40">
        <v>1.2246575342465753</v>
      </c>
      <c r="J84" s="41">
        <v>100</v>
      </c>
      <c r="K84" s="42">
        <v>123.8</v>
      </c>
      <c r="L84" s="43">
        <v>0.78029079159935377</v>
      </c>
      <c r="M84" s="44">
        <v>103</v>
      </c>
      <c r="N84" s="45">
        <v>0.32002070393374743</v>
      </c>
      <c r="O84" s="100">
        <v>6120</v>
      </c>
      <c r="P84" s="46">
        <v>0.99990000000000001</v>
      </c>
      <c r="Q84" s="47">
        <v>10000</v>
      </c>
      <c r="R84" s="46">
        <v>0.29399999999999998</v>
      </c>
      <c r="S84" s="48" t="s">
        <v>27</v>
      </c>
      <c r="T84" s="49"/>
      <c r="U84" s="53"/>
      <c r="V84" s="51" t="str">
        <f t="shared" si="3"/>
        <v>桂盟四</v>
      </c>
      <c r="W84" s="52">
        <v>3.0000000000000001E-3</v>
      </c>
    </row>
    <row r="85" spans="1:23" s="7" customFormat="1" ht="17.25" customHeight="1" x14ac:dyDescent="0.4">
      <c r="A85" s="36" t="s">
        <v>163</v>
      </c>
      <c r="B85" s="37">
        <v>53887</v>
      </c>
      <c r="C85" s="37" t="s">
        <v>69</v>
      </c>
      <c r="D85" s="38" t="s">
        <v>72</v>
      </c>
      <c r="E85" s="98">
        <v>3.8200000000000005E-2</v>
      </c>
      <c r="F85" s="99">
        <v>2.7E-2</v>
      </c>
      <c r="G85" s="39">
        <v>46349</v>
      </c>
      <c r="H85" s="39">
        <v>46362</v>
      </c>
      <c r="I85" s="40">
        <v>1.3013698630136987</v>
      </c>
      <c r="J85" s="41">
        <v>100</v>
      </c>
      <c r="K85" s="42">
        <v>134.6</v>
      </c>
      <c r="L85" s="43">
        <v>0.78008915304606252</v>
      </c>
      <c r="M85" s="44">
        <v>108.7</v>
      </c>
      <c r="N85" s="45">
        <v>0.39343047619047611</v>
      </c>
      <c r="O85" s="100">
        <v>12520.000000000004</v>
      </c>
      <c r="P85" s="46">
        <v>1</v>
      </c>
      <c r="Q85" s="47">
        <v>30000</v>
      </c>
      <c r="R85" s="46">
        <v>0.44400000000000001</v>
      </c>
      <c r="S85" s="48" t="s">
        <v>28</v>
      </c>
      <c r="T85" s="49"/>
      <c r="U85" s="53"/>
      <c r="V85" s="51" t="str">
        <f t="shared" si="3"/>
        <v>中磊七</v>
      </c>
      <c r="W85" s="52">
        <v>3.0000000000000001E-3</v>
      </c>
    </row>
    <row r="86" spans="1:23" s="7" customFormat="1" ht="17.149999999999999" customHeight="1" x14ac:dyDescent="0.4">
      <c r="A86" s="36" t="s">
        <v>164</v>
      </c>
      <c r="B86" s="37">
        <v>54342</v>
      </c>
      <c r="C86" s="37" t="s">
        <v>69</v>
      </c>
      <c r="D86" s="38" t="s">
        <v>87</v>
      </c>
      <c r="E86" s="98">
        <v>2.64E-2</v>
      </c>
      <c r="F86" s="99">
        <v>2.7E-2</v>
      </c>
      <c r="G86" s="39">
        <v>46188</v>
      </c>
      <c r="H86" s="39">
        <v>46202</v>
      </c>
      <c r="I86" s="40">
        <v>0.86301369863013699</v>
      </c>
      <c r="J86" s="41">
        <v>100</v>
      </c>
      <c r="K86" s="42">
        <v>184.1</v>
      </c>
      <c r="L86" s="43">
        <v>1.6322650733297122</v>
      </c>
      <c r="M86" s="44">
        <v>163</v>
      </c>
      <c r="N86" s="45">
        <v>-1.3876871880199558E-3</v>
      </c>
      <c r="O86" s="100">
        <v>65640</v>
      </c>
      <c r="P86" s="46">
        <v>0.41260000000000002</v>
      </c>
      <c r="Q86" s="47">
        <v>10000</v>
      </c>
      <c r="R86" s="46">
        <v>0.193</v>
      </c>
      <c r="S86" s="48" t="s">
        <v>27</v>
      </c>
      <c r="T86" s="49"/>
      <c r="U86" s="53"/>
      <c r="V86" s="51" t="str">
        <f t="shared" si="3"/>
        <v>崇越二</v>
      </c>
      <c r="W86" s="52">
        <v>3.0000000000000001E-3</v>
      </c>
    </row>
    <row r="87" spans="1:23" s="7" customFormat="1" ht="17.149999999999999" customHeight="1" x14ac:dyDescent="0.4">
      <c r="A87" s="36" t="s">
        <v>165</v>
      </c>
      <c r="B87" s="37">
        <v>54501</v>
      </c>
      <c r="C87" s="37" t="s">
        <v>115</v>
      </c>
      <c r="D87" s="38" t="s">
        <v>66</v>
      </c>
      <c r="E87" s="98">
        <v>8.5000000000000006E-3</v>
      </c>
      <c r="F87" s="99">
        <v>2.1999999999999999E-2</v>
      </c>
      <c r="G87" s="39">
        <v>46090</v>
      </c>
      <c r="H87" s="39">
        <v>46102</v>
      </c>
      <c r="I87" s="40">
        <v>0.58904109589041098</v>
      </c>
      <c r="J87" s="41">
        <v>100.75</v>
      </c>
      <c r="K87" s="42">
        <v>17.399999999999999</v>
      </c>
      <c r="L87" s="43">
        <v>0.77298850574712641</v>
      </c>
      <c r="M87" s="44">
        <v>103.1</v>
      </c>
      <c r="N87" s="45">
        <v>0.33378438661710025</v>
      </c>
      <c r="O87" s="100">
        <v>3949.9999999999945</v>
      </c>
      <c r="P87" s="46">
        <v>0.99960000000000004</v>
      </c>
      <c r="Q87" s="47">
        <v>5000</v>
      </c>
      <c r="R87" s="46">
        <v>0.19</v>
      </c>
      <c r="S87" s="48" t="s">
        <v>27</v>
      </c>
      <c r="T87" s="49"/>
      <c r="U87" s="53"/>
      <c r="V87" s="51" t="str">
        <f t="shared" si="3"/>
        <v>南良一</v>
      </c>
      <c r="W87" s="52">
        <v>3.0000000000000001E-3</v>
      </c>
    </row>
    <row r="88" spans="1:23" s="7" customFormat="1" ht="17.149999999999999" customHeight="1" x14ac:dyDescent="0.4">
      <c r="A88" s="36" t="s">
        <v>166</v>
      </c>
      <c r="B88" s="37">
        <v>56086</v>
      </c>
      <c r="C88" s="37" t="s">
        <v>167</v>
      </c>
      <c r="D88" s="38" t="s">
        <v>66</v>
      </c>
      <c r="E88" s="98">
        <v>2.24E-2</v>
      </c>
      <c r="F88" s="99">
        <v>2.3E-2</v>
      </c>
      <c r="G88" s="39">
        <v>46181</v>
      </c>
      <c r="H88" s="39">
        <v>46194</v>
      </c>
      <c r="I88" s="40">
        <v>0.84109589041095889</v>
      </c>
      <c r="J88" s="41">
        <v>100</v>
      </c>
      <c r="K88" s="42">
        <v>22.1</v>
      </c>
      <c r="L88" s="43">
        <v>0.80769230769230771</v>
      </c>
      <c r="M88" s="44">
        <v>106.2</v>
      </c>
      <c r="N88" s="45">
        <v>0.31485714285714284</v>
      </c>
      <c r="O88" s="100">
        <v>8440.0000000000036</v>
      </c>
      <c r="P88" s="46">
        <v>0.99980000000000002</v>
      </c>
      <c r="Q88" s="47">
        <v>5000</v>
      </c>
      <c r="R88" s="46">
        <v>0.41599999999999998</v>
      </c>
      <c r="S88" s="48" t="s">
        <v>27</v>
      </c>
      <c r="T88" s="49"/>
      <c r="U88" s="53"/>
      <c r="V88" s="51" t="str">
        <f t="shared" si="3"/>
        <v>四維航六</v>
      </c>
      <c r="W88" s="52">
        <v>3.0000000000000001E-3</v>
      </c>
    </row>
    <row r="89" spans="1:23" s="7" customFormat="1" ht="18" customHeight="1" x14ac:dyDescent="0.4">
      <c r="A89" s="36" t="s">
        <v>168</v>
      </c>
      <c r="B89" s="37">
        <v>56087</v>
      </c>
      <c r="C89" s="37" t="s">
        <v>141</v>
      </c>
      <c r="D89" s="38" t="s">
        <v>66</v>
      </c>
      <c r="E89" s="98">
        <v>5.6700000000000007E-2</v>
      </c>
      <c r="F89" s="99">
        <v>2.3E-2</v>
      </c>
      <c r="G89" s="39">
        <v>46724</v>
      </c>
      <c r="H89" s="39">
        <v>46738</v>
      </c>
      <c r="I89" s="40">
        <v>2.3315068493150686</v>
      </c>
      <c r="J89" s="41">
        <v>100</v>
      </c>
      <c r="K89" s="42">
        <v>19.3</v>
      </c>
      <c r="L89" s="43">
        <v>0.92487046632124359</v>
      </c>
      <c r="M89" s="44">
        <v>108.65</v>
      </c>
      <c r="N89" s="45">
        <v>0.17475910364145653</v>
      </c>
      <c r="O89" s="100">
        <v>14320.000000000007</v>
      </c>
      <c r="P89" s="46">
        <v>1</v>
      </c>
      <c r="Q89" s="47">
        <v>6000</v>
      </c>
      <c r="R89" s="46">
        <v>0.41599999999999998</v>
      </c>
      <c r="S89" s="48" t="s">
        <v>27</v>
      </c>
      <c r="T89" s="49"/>
      <c r="U89" s="53"/>
      <c r="V89" s="51" t="str">
        <f t="shared" si="3"/>
        <v>四維航七</v>
      </c>
      <c r="W89" s="52">
        <v>3.0000000000000001E-3</v>
      </c>
    </row>
    <row r="90" spans="1:23" s="7" customFormat="1" ht="18" customHeight="1" x14ac:dyDescent="0.4">
      <c r="A90" s="36" t="s">
        <v>169</v>
      </c>
      <c r="B90" s="37">
        <v>59055</v>
      </c>
      <c r="C90" s="37" t="s">
        <v>170</v>
      </c>
      <c r="D90" s="38" t="s">
        <v>66</v>
      </c>
      <c r="E90" s="98">
        <v>1.95E-2</v>
      </c>
      <c r="F90" s="99">
        <v>2.1999999999999999E-2</v>
      </c>
      <c r="G90" s="39">
        <v>46146</v>
      </c>
      <c r="H90" s="39">
        <v>46160</v>
      </c>
      <c r="I90" s="40">
        <v>0.74794520547945209</v>
      </c>
      <c r="J90" s="41">
        <v>100</v>
      </c>
      <c r="K90" s="42">
        <v>12.62</v>
      </c>
      <c r="L90" s="43">
        <v>0.95087163232963556</v>
      </c>
      <c r="M90" s="44">
        <v>109.45</v>
      </c>
      <c r="N90" s="45">
        <v>0.15104916666666657</v>
      </c>
      <c r="O90" s="100">
        <v>11400.000000000004</v>
      </c>
      <c r="P90" s="46">
        <v>0.33100000000000002</v>
      </c>
      <c r="Q90" s="47">
        <v>6000</v>
      </c>
      <c r="R90" s="46">
        <v>0.29599999999999999</v>
      </c>
      <c r="S90" s="48" t="s">
        <v>27</v>
      </c>
      <c r="T90" s="49" t="s">
        <v>3</v>
      </c>
      <c r="U90" s="53"/>
      <c r="V90" s="51" t="str">
        <f t="shared" si="3"/>
        <v>南仁湖四</v>
      </c>
      <c r="W90" s="52">
        <v>3.0000000000000001E-3</v>
      </c>
    </row>
    <row r="91" spans="1:23" s="7" customFormat="1" ht="18" customHeight="1" x14ac:dyDescent="0.4">
      <c r="A91" s="36" t="s">
        <v>171</v>
      </c>
      <c r="B91" s="37">
        <v>61041</v>
      </c>
      <c r="C91" s="37" t="s">
        <v>69</v>
      </c>
      <c r="D91" s="38" t="s">
        <v>77</v>
      </c>
      <c r="E91" s="98">
        <v>7.3800000000000004E-2</v>
      </c>
      <c r="F91" s="99">
        <v>3.5000000000000003E-2</v>
      </c>
      <c r="G91" s="39">
        <v>46611</v>
      </c>
      <c r="H91" s="101">
        <v>46625</v>
      </c>
      <c r="I91" s="40">
        <v>2.021917808219178</v>
      </c>
      <c r="J91" s="41">
        <v>100</v>
      </c>
      <c r="K91" s="42">
        <v>124.8</v>
      </c>
      <c r="L91" s="43">
        <v>1.0857371794871795</v>
      </c>
      <c r="M91" s="44">
        <v>123</v>
      </c>
      <c r="N91" s="45">
        <v>0.132870848708487</v>
      </c>
      <c r="O91" s="100">
        <v>30380</v>
      </c>
      <c r="P91" s="46">
        <v>0.87360000000000004</v>
      </c>
      <c r="Q91" s="47">
        <v>5000</v>
      </c>
      <c r="R91" s="46">
        <v>0.317</v>
      </c>
      <c r="S91" s="48" t="s">
        <v>28</v>
      </c>
      <c r="T91" s="49" t="s">
        <v>29</v>
      </c>
      <c r="U91" s="53"/>
      <c r="V91" s="51" t="str">
        <f t="shared" si="3"/>
        <v>創惟一</v>
      </c>
      <c r="W91" s="52">
        <v>3.0000000000000001E-3</v>
      </c>
    </row>
    <row r="92" spans="1:23" s="7" customFormat="1" ht="18" customHeight="1" x14ac:dyDescent="0.4">
      <c r="A92" s="36" t="s">
        <v>172</v>
      </c>
      <c r="B92" s="37">
        <v>61565</v>
      </c>
      <c r="C92" s="37" t="s">
        <v>69</v>
      </c>
      <c r="D92" s="38" t="s">
        <v>70</v>
      </c>
      <c r="E92" s="98">
        <v>8.1800000000000012E-2</v>
      </c>
      <c r="F92" s="99">
        <v>4.2500000000000003E-2</v>
      </c>
      <c r="G92" s="39">
        <v>46549</v>
      </c>
      <c r="H92" s="39">
        <v>46563</v>
      </c>
      <c r="I92" s="40">
        <v>1.8520547945205479</v>
      </c>
      <c r="J92" s="41">
        <v>100</v>
      </c>
      <c r="K92" s="42">
        <v>30.1</v>
      </c>
      <c r="L92" s="43">
        <v>0.80730897009966762</v>
      </c>
      <c r="M92" s="44">
        <v>103.55</v>
      </c>
      <c r="N92" s="45">
        <v>0.28265637860082315</v>
      </c>
      <c r="O92" s="100">
        <v>11729.999999999998</v>
      </c>
      <c r="P92" s="46">
        <v>1</v>
      </c>
      <c r="Q92" s="47">
        <v>3500</v>
      </c>
      <c r="R92" s="46">
        <v>0.41</v>
      </c>
      <c r="S92" s="48" t="s">
        <v>28</v>
      </c>
      <c r="T92" s="49"/>
      <c r="U92" s="53"/>
      <c r="V92" s="51" t="str">
        <f t="shared" si="3"/>
        <v>松上五</v>
      </c>
      <c r="W92" s="52">
        <v>3.0000000000000001E-3</v>
      </c>
    </row>
    <row r="93" spans="1:23" s="7" customFormat="1" ht="18" customHeight="1" x14ac:dyDescent="0.4">
      <c r="A93" s="36" t="s">
        <v>173</v>
      </c>
      <c r="B93" s="37">
        <v>61777</v>
      </c>
      <c r="C93" s="37" t="s">
        <v>69</v>
      </c>
      <c r="D93" s="38" t="s">
        <v>66</v>
      </c>
      <c r="E93" s="98">
        <v>7.5600000000000001E-2</v>
      </c>
      <c r="F93" s="99">
        <v>0.05</v>
      </c>
      <c r="G93" s="39">
        <v>46549</v>
      </c>
      <c r="H93" s="39">
        <v>46563</v>
      </c>
      <c r="I93" s="40">
        <v>1.8520547945205479</v>
      </c>
      <c r="J93" s="41">
        <v>102.01</v>
      </c>
      <c r="K93" s="42">
        <v>46.1</v>
      </c>
      <c r="L93" s="43">
        <v>0.93600867678958777</v>
      </c>
      <c r="M93" s="44">
        <v>107.5</v>
      </c>
      <c r="N93" s="45">
        <v>0.1484936268829665</v>
      </c>
      <c r="O93" s="100">
        <v>15060.000000000002</v>
      </c>
      <c r="P93" s="46">
        <v>1</v>
      </c>
      <c r="Q93" s="47">
        <v>6000</v>
      </c>
      <c r="R93" s="46">
        <v>0.23400000000000001</v>
      </c>
      <c r="S93" s="48" t="s">
        <v>28</v>
      </c>
      <c r="T93" s="49"/>
      <c r="U93" s="53"/>
      <c r="V93" s="51" t="str">
        <f t="shared" si="3"/>
        <v>達麗七</v>
      </c>
      <c r="W93" s="52">
        <v>3.0000000000000001E-3</v>
      </c>
    </row>
    <row r="94" spans="1:23" s="7" customFormat="1" ht="18" customHeight="1" x14ac:dyDescent="0.4">
      <c r="A94" s="36" t="s">
        <v>174</v>
      </c>
      <c r="B94" s="37">
        <v>61843</v>
      </c>
      <c r="C94" s="37" t="s">
        <v>69</v>
      </c>
      <c r="D94" s="38" t="e">
        <v>#N/A</v>
      </c>
      <c r="E94" s="98">
        <v>4.2200000000000008E-2</v>
      </c>
      <c r="F94" s="99">
        <v>3.5000000000000003E-2</v>
      </c>
      <c r="G94" s="39">
        <v>46440</v>
      </c>
      <c r="H94" s="39">
        <v>46452</v>
      </c>
      <c r="I94" s="40">
        <v>1.547945205479452</v>
      </c>
      <c r="J94" s="41">
        <v>101.50749999999999</v>
      </c>
      <c r="K94" s="42">
        <v>49.4</v>
      </c>
      <c r="L94" s="43">
        <v>1.0910931174089069</v>
      </c>
      <c r="M94" s="44">
        <v>106.95</v>
      </c>
      <c r="N94" s="45">
        <v>-1.97903525046382E-2</v>
      </c>
      <c r="O94" s="100">
        <v>11170.000000000005</v>
      </c>
      <c r="P94" s="46">
        <v>0.96279999999999999</v>
      </c>
      <c r="Q94" s="47">
        <v>15000</v>
      </c>
      <c r="R94" s="46">
        <v>0.32500000000000001</v>
      </c>
      <c r="S94" s="48" t="s">
        <v>28</v>
      </c>
      <c r="T94" s="49"/>
      <c r="U94" s="53"/>
      <c r="V94" s="51" t="str">
        <f t="shared" si="3"/>
        <v>大豐電三</v>
      </c>
      <c r="W94" s="52">
        <v>3.0000000000000001E-3</v>
      </c>
    </row>
    <row r="95" spans="1:23" s="7" customFormat="1" ht="18" customHeight="1" x14ac:dyDescent="0.4">
      <c r="A95" s="36" t="s">
        <v>175</v>
      </c>
      <c r="B95" s="37">
        <v>61875</v>
      </c>
      <c r="C95" s="37" t="s">
        <v>69</v>
      </c>
      <c r="D95" s="38" t="s">
        <v>77</v>
      </c>
      <c r="E95" s="98">
        <v>5.6100000000000004E-2</v>
      </c>
      <c r="F95" s="99">
        <v>2.8000000000000001E-2</v>
      </c>
      <c r="G95" s="39">
        <v>46566</v>
      </c>
      <c r="H95" s="39">
        <v>46578</v>
      </c>
      <c r="I95" s="40">
        <v>1.893150684931507</v>
      </c>
      <c r="J95" s="41">
        <v>100</v>
      </c>
      <c r="K95" s="42">
        <v>276.8</v>
      </c>
      <c r="L95" s="43">
        <v>1.3493497109826589</v>
      </c>
      <c r="M95" s="44">
        <v>144</v>
      </c>
      <c r="N95" s="45">
        <v>6.7180722891566305E-2</v>
      </c>
      <c r="O95" s="100">
        <v>49610</v>
      </c>
      <c r="P95" s="46">
        <v>0.45400000000000001</v>
      </c>
      <c r="Q95" s="47">
        <v>5000</v>
      </c>
      <c r="R95" s="46">
        <v>0.32200000000000001</v>
      </c>
      <c r="S95" s="48" t="s">
        <v>28</v>
      </c>
      <c r="T95" s="49"/>
      <c r="U95" s="53"/>
      <c r="V95" s="51" t="str">
        <f t="shared" si="3"/>
        <v>萬潤五</v>
      </c>
      <c r="W95" s="52">
        <v>3.0000000000000001E-3</v>
      </c>
    </row>
    <row r="96" spans="1:23" s="7" customFormat="1" ht="17.149999999999999" customHeight="1" x14ac:dyDescent="0.4">
      <c r="A96" s="36" t="s">
        <v>176</v>
      </c>
      <c r="B96" s="37">
        <v>61894</v>
      </c>
      <c r="C96" s="37" t="s">
        <v>69</v>
      </c>
      <c r="D96" s="38" t="s">
        <v>72</v>
      </c>
      <c r="E96" s="98">
        <v>2.87E-2</v>
      </c>
      <c r="F96" s="99">
        <v>2.7E-2</v>
      </c>
      <c r="G96" s="39">
        <v>46322</v>
      </c>
      <c r="H96" s="39">
        <v>46336</v>
      </c>
      <c r="I96" s="40">
        <v>1.2301369863013698</v>
      </c>
      <c r="J96" s="41">
        <v>100.75190000000001</v>
      </c>
      <c r="K96" s="42">
        <v>43.14</v>
      </c>
      <c r="L96" s="43">
        <v>1.2934631432545201</v>
      </c>
      <c r="M96" s="44">
        <v>135</v>
      </c>
      <c r="N96" s="45">
        <v>4.3709677419354984E-2</v>
      </c>
      <c r="O96" s="100">
        <v>37870</v>
      </c>
      <c r="P96" s="46">
        <v>0.25359999999999999</v>
      </c>
      <c r="Q96" s="47">
        <v>5000</v>
      </c>
      <c r="R96" s="46">
        <v>0.30599999999999999</v>
      </c>
      <c r="S96" s="48" t="s">
        <v>27</v>
      </c>
      <c r="T96" s="49"/>
      <c r="U96" s="53"/>
      <c r="V96" s="51" t="str">
        <f t="shared" si="3"/>
        <v>豐藝四</v>
      </c>
      <c r="W96" s="52">
        <v>3.0000000000000001E-3</v>
      </c>
    </row>
    <row r="97" spans="1:23" s="7" customFormat="1" ht="17.149999999999999" customHeight="1" x14ac:dyDescent="0.4">
      <c r="A97" s="36" t="s">
        <v>177</v>
      </c>
      <c r="B97" s="37">
        <v>61965</v>
      </c>
      <c r="C97" s="37" t="s">
        <v>69</v>
      </c>
      <c r="D97" s="38" t="s">
        <v>72</v>
      </c>
      <c r="E97" s="98">
        <v>2.53E-2</v>
      </c>
      <c r="F97" s="99">
        <v>2.5999999999999999E-2</v>
      </c>
      <c r="G97" s="39">
        <v>46188</v>
      </c>
      <c r="H97" s="39">
        <v>46200</v>
      </c>
      <c r="I97" s="40">
        <v>0.8575342465753425</v>
      </c>
      <c r="J97" s="41">
        <v>100</v>
      </c>
      <c r="K97" s="42">
        <v>130.69999999999999</v>
      </c>
      <c r="L97" s="43">
        <v>1.778882938026014</v>
      </c>
      <c r="M97" s="44">
        <v>179</v>
      </c>
      <c r="N97" s="45">
        <v>6.2494623655912915E-3</v>
      </c>
      <c r="O97" s="100">
        <v>81530</v>
      </c>
      <c r="P97" s="46">
        <v>0.43056</v>
      </c>
      <c r="Q97" s="47">
        <v>25000</v>
      </c>
      <c r="R97" s="46">
        <v>0.42499999999999999</v>
      </c>
      <c r="S97" s="48" t="s">
        <v>28</v>
      </c>
      <c r="T97" s="49"/>
      <c r="U97" s="53"/>
      <c r="V97" s="51" t="str">
        <f t="shared" si="3"/>
        <v>帆宣五</v>
      </c>
      <c r="W97" s="52">
        <v>3.0000000000000001E-3</v>
      </c>
    </row>
    <row r="98" spans="1:23" s="7" customFormat="1" ht="17.149999999999999" customHeight="1" x14ac:dyDescent="0.4">
      <c r="A98" s="36" t="s">
        <v>178</v>
      </c>
      <c r="B98" s="37">
        <v>61973</v>
      </c>
      <c r="C98" s="37" t="s">
        <v>69</v>
      </c>
      <c r="D98" s="38" t="s">
        <v>77</v>
      </c>
      <c r="E98" s="98">
        <v>7.0000000000000007E-2</v>
      </c>
      <c r="F98" s="99">
        <v>3.1E-2</v>
      </c>
      <c r="G98" s="39">
        <v>46661</v>
      </c>
      <c r="H98" s="39">
        <v>46675</v>
      </c>
      <c r="I98" s="40">
        <v>2.1589041095890411</v>
      </c>
      <c r="J98" s="41">
        <v>100</v>
      </c>
      <c r="K98" s="42">
        <v>152</v>
      </c>
      <c r="L98" s="43">
        <v>1.1677631578947369</v>
      </c>
      <c r="M98" s="44">
        <v>127</v>
      </c>
      <c r="N98" s="45">
        <v>8.7549295774647748E-2</v>
      </c>
      <c r="O98" s="100">
        <v>34000</v>
      </c>
      <c r="P98" s="46">
        <v>1</v>
      </c>
      <c r="Q98" s="47">
        <v>10000</v>
      </c>
      <c r="R98" s="46">
        <v>0.44800000000000001</v>
      </c>
      <c r="S98" s="48" t="s">
        <v>28</v>
      </c>
      <c r="T98" s="49"/>
      <c r="U98" s="53"/>
      <c r="V98" s="51" t="str">
        <f t="shared" si="3"/>
        <v>佳必琪三</v>
      </c>
      <c r="W98" s="52">
        <v>3.0000000000000001E-3</v>
      </c>
    </row>
    <row r="99" spans="1:23" s="7" customFormat="1" ht="17.149999999999999" customHeight="1" x14ac:dyDescent="0.4">
      <c r="A99" s="36" t="s">
        <v>179</v>
      </c>
      <c r="B99" s="37">
        <v>62235</v>
      </c>
      <c r="C99" s="37" t="s">
        <v>69</v>
      </c>
      <c r="D99" s="38" t="s">
        <v>72</v>
      </c>
      <c r="E99" s="98">
        <v>6.7600000000000007E-2</v>
      </c>
      <c r="F99" s="99">
        <v>2.7E-2</v>
      </c>
      <c r="G99" s="39">
        <v>46748</v>
      </c>
      <c r="H99" s="39">
        <v>46760</v>
      </c>
      <c r="I99" s="40">
        <v>2.3917808219178083</v>
      </c>
      <c r="J99" s="41">
        <v>100</v>
      </c>
      <c r="K99" s="42">
        <v>913.4</v>
      </c>
      <c r="L99" s="43">
        <v>1.3739873001970659</v>
      </c>
      <c r="M99" s="44">
        <v>149</v>
      </c>
      <c r="N99" s="45">
        <v>8.443505976095618E-2</v>
      </c>
      <c r="O99" s="100">
        <v>55760</v>
      </c>
      <c r="P99" s="46">
        <v>0.99997142857142862</v>
      </c>
      <c r="Q99" s="47">
        <v>35000</v>
      </c>
      <c r="R99" s="46">
        <v>0.52100000000000002</v>
      </c>
      <c r="S99" s="48" t="s">
        <v>28</v>
      </c>
      <c r="T99" s="49"/>
      <c r="U99" s="53"/>
      <c r="V99" s="51" t="str">
        <f t="shared" si="3"/>
        <v>旺矽五</v>
      </c>
      <c r="W99" s="52">
        <v>3.0000000000000001E-3</v>
      </c>
    </row>
    <row r="100" spans="1:23" s="7" customFormat="1" ht="17.149999999999999" customHeight="1" x14ac:dyDescent="0.4">
      <c r="A100" s="36" t="s">
        <v>180</v>
      </c>
      <c r="B100" s="37">
        <v>62695</v>
      </c>
      <c r="C100" s="37" t="s">
        <v>69</v>
      </c>
      <c r="D100" s="38" t="s">
        <v>72</v>
      </c>
      <c r="E100" s="98">
        <v>7.1500000000000008E-2</v>
      </c>
      <c r="F100" s="99">
        <v>3.5000000000000003E-2</v>
      </c>
      <c r="G100" s="39">
        <v>46587</v>
      </c>
      <c r="H100" s="39">
        <v>46601</v>
      </c>
      <c r="I100" s="40">
        <v>1.9561643835616438</v>
      </c>
      <c r="J100" s="41">
        <v>100</v>
      </c>
      <c r="K100" s="42">
        <v>93</v>
      </c>
      <c r="L100" s="43">
        <v>0.67849462365591395</v>
      </c>
      <c r="M100" s="44">
        <v>103.5</v>
      </c>
      <c r="N100" s="45">
        <v>0.52543581616481783</v>
      </c>
      <c r="O100" s="100">
        <v>10650.000000000002</v>
      </c>
      <c r="P100" s="46">
        <v>1</v>
      </c>
      <c r="Q100" s="47">
        <v>20000</v>
      </c>
      <c r="R100" s="46">
        <v>0.30599999999999999</v>
      </c>
      <c r="S100" s="48" t="s">
        <v>27</v>
      </c>
      <c r="T100" s="49"/>
      <c r="U100" s="53"/>
      <c r="V100" s="51" t="str">
        <f t="shared" si="3"/>
        <v>台郡五</v>
      </c>
      <c r="W100" s="52">
        <v>3.0000000000000001E-3</v>
      </c>
    </row>
    <row r="101" spans="1:23" s="7" customFormat="1" ht="17.149999999999999" customHeight="1" x14ac:dyDescent="0.4">
      <c r="A101" s="36" t="s">
        <v>181</v>
      </c>
      <c r="B101" s="37">
        <v>62696</v>
      </c>
      <c r="C101" s="37" t="s">
        <v>69</v>
      </c>
      <c r="D101" s="38" t="s">
        <v>72</v>
      </c>
      <c r="E101" s="98">
        <v>7.1500000000000008E-2</v>
      </c>
      <c r="F101" s="99">
        <v>3.5000000000000003E-2</v>
      </c>
      <c r="G101" s="39">
        <v>46587</v>
      </c>
      <c r="H101" s="39">
        <v>46601</v>
      </c>
      <c r="I101" s="40">
        <v>1.9561643835616438</v>
      </c>
      <c r="J101" s="41">
        <v>100</v>
      </c>
      <c r="K101" s="42">
        <v>101</v>
      </c>
      <c r="L101" s="43">
        <v>0.62475247524752475</v>
      </c>
      <c r="M101" s="44">
        <v>101.5</v>
      </c>
      <c r="N101" s="45">
        <v>0.62464342313787635</v>
      </c>
      <c r="O101" s="100">
        <v>8650</v>
      </c>
      <c r="P101" s="46">
        <v>1</v>
      </c>
      <c r="Q101" s="47">
        <v>10000</v>
      </c>
      <c r="R101" s="46">
        <v>0.30599999999999999</v>
      </c>
      <c r="S101" s="48" t="s">
        <v>27</v>
      </c>
      <c r="T101" s="49"/>
      <c r="U101" s="53"/>
      <c r="V101" s="51" t="str">
        <f t="shared" si="3"/>
        <v>台郡六</v>
      </c>
      <c r="W101" s="52">
        <v>3.0000000000000001E-3</v>
      </c>
    </row>
    <row r="102" spans="1:23" s="7" customFormat="1" ht="17.149999999999999" customHeight="1" x14ac:dyDescent="0.4">
      <c r="A102" s="36" t="s">
        <v>182</v>
      </c>
      <c r="B102" s="37">
        <v>62843</v>
      </c>
      <c r="C102" s="37" t="s">
        <v>69</v>
      </c>
      <c r="D102" s="38" t="s">
        <v>72</v>
      </c>
      <c r="E102" s="98">
        <v>1.1799999999999998E-2</v>
      </c>
      <c r="F102" s="99">
        <v>2.7E-2</v>
      </c>
      <c r="G102" s="39">
        <v>45992</v>
      </c>
      <c r="H102" s="39">
        <v>46005</v>
      </c>
      <c r="I102" s="40">
        <v>0.32328767123287672</v>
      </c>
      <c r="J102" s="41">
        <v>100</v>
      </c>
      <c r="K102" s="42">
        <v>86.6</v>
      </c>
      <c r="L102" s="43">
        <v>0.72748267898383379</v>
      </c>
      <c r="M102" s="44">
        <v>104</v>
      </c>
      <c r="N102" s="45">
        <v>0.42958730158730152</v>
      </c>
      <c r="O102" s="100">
        <v>5180</v>
      </c>
      <c r="P102" s="46">
        <v>1</v>
      </c>
      <c r="Q102" s="47">
        <v>7000</v>
      </c>
      <c r="R102" s="46">
        <v>0.34200000000000003</v>
      </c>
      <c r="S102" s="48" t="s">
        <v>27</v>
      </c>
      <c r="T102" s="49"/>
      <c r="U102" s="53"/>
      <c r="V102" s="51" t="str">
        <f t="shared" si="3"/>
        <v>佳邦三</v>
      </c>
      <c r="W102" s="52">
        <v>3.0000000000000001E-3</v>
      </c>
    </row>
    <row r="103" spans="1:23" s="7" customFormat="1" ht="17.25" customHeight="1" x14ac:dyDescent="0.4">
      <c r="A103" s="36" t="s">
        <v>183</v>
      </c>
      <c r="B103" s="37">
        <v>629010</v>
      </c>
      <c r="C103" s="37" t="s">
        <v>69</v>
      </c>
      <c r="D103" s="38" t="s">
        <v>77</v>
      </c>
      <c r="E103" s="98">
        <v>5.4400000000000004E-2</v>
      </c>
      <c r="F103" s="99">
        <v>3.2500000000000001E-2</v>
      </c>
      <c r="G103" s="39">
        <v>46506</v>
      </c>
      <c r="H103" s="39">
        <v>46520</v>
      </c>
      <c r="I103" s="40">
        <v>1.7342465753424658</v>
      </c>
      <c r="J103" s="41">
        <v>100.500625</v>
      </c>
      <c r="K103" s="42">
        <v>75.900000000000006</v>
      </c>
      <c r="L103" s="43">
        <v>1.4690382081686428</v>
      </c>
      <c r="M103" s="44">
        <v>147.5</v>
      </c>
      <c r="N103" s="45">
        <v>4.0582959641256465E-3</v>
      </c>
      <c r="O103" s="100">
        <v>52940</v>
      </c>
      <c r="P103" s="46">
        <v>1</v>
      </c>
      <c r="Q103" s="47">
        <v>8000</v>
      </c>
      <c r="R103" s="46">
        <v>0.41199999999999998</v>
      </c>
      <c r="S103" s="48" t="s">
        <v>28</v>
      </c>
      <c r="T103" s="49"/>
      <c r="U103" s="53"/>
      <c r="V103" s="51" t="str">
        <f t="shared" si="3"/>
        <v>良維十</v>
      </c>
      <c r="W103" s="52">
        <v>3.0000000000000001E-3</v>
      </c>
    </row>
    <row r="104" spans="1:23" s="7" customFormat="1" ht="17.25" customHeight="1" x14ac:dyDescent="0.4">
      <c r="A104" s="36" t="s">
        <v>184</v>
      </c>
      <c r="B104" s="37">
        <v>64145</v>
      </c>
      <c r="C104" s="37" t="s">
        <v>69</v>
      </c>
      <c r="D104" s="38" t="s">
        <v>72</v>
      </c>
      <c r="E104" s="98">
        <v>2.8899999999999999E-2</v>
      </c>
      <c r="F104" s="99">
        <v>2.5999999999999999E-2</v>
      </c>
      <c r="G104" s="39">
        <v>46237</v>
      </c>
      <c r="H104" s="39">
        <v>46250</v>
      </c>
      <c r="I104" s="40">
        <v>0.9945205479452055</v>
      </c>
      <c r="J104" s="41">
        <v>100</v>
      </c>
      <c r="K104" s="42">
        <v>273.60000000000002</v>
      </c>
      <c r="L104" s="43">
        <v>1.1293859649122806</v>
      </c>
      <c r="M104" s="44">
        <v>118.6</v>
      </c>
      <c r="N104" s="45">
        <v>5.012815533980592E-2</v>
      </c>
      <c r="O104" s="100">
        <v>21489.999999999996</v>
      </c>
      <c r="P104" s="46">
        <v>0.99990000000000001</v>
      </c>
      <c r="Q104" s="47">
        <v>30000</v>
      </c>
      <c r="R104" s="46">
        <v>0.23499999999999999</v>
      </c>
      <c r="S104" s="48" t="s">
        <v>28</v>
      </c>
      <c r="T104" s="49"/>
      <c r="U104" s="53"/>
      <c r="V104" s="51" t="str">
        <f t="shared" si="3"/>
        <v>樺漢五</v>
      </c>
      <c r="W104" s="52">
        <v>3.0000000000000001E-3</v>
      </c>
    </row>
    <row r="105" spans="1:23" s="7" customFormat="1" ht="17.25" customHeight="1" x14ac:dyDescent="0.4">
      <c r="A105" s="36" t="s">
        <v>185</v>
      </c>
      <c r="B105" s="37">
        <v>64251</v>
      </c>
      <c r="C105" s="37" t="s">
        <v>186</v>
      </c>
      <c r="D105" s="38" t="s">
        <v>60</v>
      </c>
      <c r="E105" s="98">
        <v>5.2700000000000004E-2</v>
      </c>
      <c r="F105" s="99">
        <v>2.3E-2</v>
      </c>
      <c r="G105" s="39">
        <v>46661</v>
      </c>
      <c r="H105" s="39">
        <v>46675</v>
      </c>
      <c r="I105" s="40">
        <v>2.1589041095890411</v>
      </c>
      <c r="J105" s="41">
        <v>100</v>
      </c>
      <c r="K105" s="42">
        <v>58.7</v>
      </c>
      <c r="L105" s="43">
        <v>0.93356047700170353</v>
      </c>
      <c r="M105" s="44">
        <v>139.9</v>
      </c>
      <c r="N105" s="45">
        <v>0.49856386861313884</v>
      </c>
      <c r="O105" s="100">
        <v>45170.000000000007</v>
      </c>
      <c r="P105" s="46">
        <v>1</v>
      </c>
      <c r="Q105" s="47">
        <v>2000</v>
      </c>
      <c r="R105" s="46">
        <v>0.68100000000000005</v>
      </c>
      <c r="S105" s="48" t="s">
        <v>27</v>
      </c>
      <c r="T105" s="49"/>
      <c r="U105" s="53"/>
      <c r="V105" s="51" t="str">
        <f t="shared" si="3"/>
        <v>易發一</v>
      </c>
      <c r="W105" s="52">
        <v>3.0000000000000001E-3</v>
      </c>
    </row>
    <row r="106" spans="1:23" s="7" customFormat="1" ht="17.25" customHeight="1" x14ac:dyDescent="0.4">
      <c r="A106" s="36" t="s">
        <v>187</v>
      </c>
      <c r="B106" s="37">
        <v>64421</v>
      </c>
      <c r="C106" s="37" t="s">
        <v>69</v>
      </c>
      <c r="D106" s="38" t="s">
        <v>77</v>
      </c>
      <c r="E106" s="98">
        <v>4.9300000000000004E-2</v>
      </c>
      <c r="F106" s="99">
        <v>3.7499999999999999E-2</v>
      </c>
      <c r="G106" s="39">
        <v>46323</v>
      </c>
      <c r="H106" s="39">
        <v>46337</v>
      </c>
      <c r="I106" s="40">
        <v>1.2328767123287672</v>
      </c>
      <c r="J106" s="41">
        <v>100</v>
      </c>
      <c r="K106" s="42">
        <v>482.3</v>
      </c>
      <c r="L106" s="43">
        <v>1.6524984449512752</v>
      </c>
      <c r="M106" s="44">
        <v>165</v>
      </c>
      <c r="N106" s="45">
        <v>-1.5119196988707952E-3</v>
      </c>
      <c r="O106" s="100">
        <v>69930</v>
      </c>
      <c r="P106" s="46">
        <v>0.99990000000000001</v>
      </c>
      <c r="Q106" s="47">
        <v>10000</v>
      </c>
      <c r="R106" s="46">
        <v>0.61799999999999999</v>
      </c>
      <c r="S106" s="48" t="s">
        <v>28</v>
      </c>
      <c r="T106" s="49"/>
      <c r="U106" s="53"/>
      <c r="V106" s="51" t="str">
        <f t="shared" si="3"/>
        <v>光聖一</v>
      </c>
      <c r="W106" s="52">
        <v>3.0000000000000001E-3</v>
      </c>
    </row>
    <row r="107" spans="1:23" s="7" customFormat="1" ht="17.25" customHeight="1" x14ac:dyDescent="0.4">
      <c r="A107" s="36" t="s">
        <v>33</v>
      </c>
      <c r="B107" s="37">
        <v>64693</v>
      </c>
      <c r="C107" s="37" t="s">
        <v>69</v>
      </c>
      <c r="D107" s="38" t="s">
        <v>72</v>
      </c>
      <c r="E107" s="98">
        <v>8.5500000000000007E-2</v>
      </c>
      <c r="F107" s="99">
        <v>2.8000000000000001E-2</v>
      </c>
      <c r="G107" s="39">
        <v>46948</v>
      </c>
      <c r="H107" s="39">
        <v>46962</v>
      </c>
      <c r="I107" s="40">
        <v>2.9452054794520546</v>
      </c>
      <c r="J107" s="41">
        <v>100</v>
      </c>
      <c r="K107" s="42">
        <v>149.74</v>
      </c>
      <c r="L107" s="43">
        <v>1.0751970081474556</v>
      </c>
      <c r="M107" s="44">
        <v>115.75</v>
      </c>
      <c r="N107" s="45">
        <v>7.6546894409937852E-2</v>
      </c>
      <c r="O107" s="100">
        <v>24300</v>
      </c>
      <c r="P107" s="46">
        <v>1</v>
      </c>
      <c r="Q107" s="47">
        <v>10000</v>
      </c>
      <c r="R107" s="46">
        <v>0.36499999999999999</v>
      </c>
      <c r="S107" s="48" t="s">
        <v>28</v>
      </c>
      <c r="T107" s="49"/>
      <c r="U107" s="53"/>
      <c r="V107" s="51" t="str">
        <f t="shared" si="3"/>
        <v>大樹三</v>
      </c>
      <c r="W107" s="52">
        <v>3.0000000000000001E-3</v>
      </c>
    </row>
    <row r="108" spans="1:23" s="7" customFormat="1" ht="17.25" customHeight="1" x14ac:dyDescent="0.4">
      <c r="A108" s="36" t="s">
        <v>188</v>
      </c>
      <c r="B108" s="37">
        <v>64723</v>
      </c>
      <c r="C108" s="37" t="s">
        <v>69</v>
      </c>
      <c r="D108" s="38" t="s">
        <v>77</v>
      </c>
      <c r="E108" s="98">
        <v>3.8800000000000008E-2</v>
      </c>
      <c r="F108" s="99">
        <v>4.4999999999999998E-2</v>
      </c>
      <c r="G108" s="39">
        <v>46224</v>
      </c>
      <c r="H108" s="39">
        <v>46238</v>
      </c>
      <c r="I108" s="40">
        <v>0.9616438356164384</v>
      </c>
      <c r="J108" s="41">
        <v>100.75190000000001</v>
      </c>
      <c r="K108" s="42">
        <v>497.9</v>
      </c>
      <c r="L108" s="43">
        <v>1.5726049407511546</v>
      </c>
      <c r="M108" s="44">
        <v>158</v>
      </c>
      <c r="N108" s="45">
        <v>4.7024265644955987E-3</v>
      </c>
      <c r="O108" s="100">
        <v>61880</v>
      </c>
      <c r="P108" s="46">
        <v>0.80617647058823527</v>
      </c>
      <c r="Q108" s="47">
        <v>17000</v>
      </c>
      <c r="R108" s="46">
        <v>0.254</v>
      </c>
      <c r="S108" s="48" t="s">
        <v>28</v>
      </c>
      <c r="T108" s="49"/>
      <c r="U108" s="50"/>
      <c r="V108" s="51" t="str">
        <f t="shared" si="3"/>
        <v>保瑞三</v>
      </c>
      <c r="W108" s="52">
        <v>3.0000000000000001E-3</v>
      </c>
    </row>
    <row r="109" spans="1:23" s="7" customFormat="1" ht="17.25" customHeight="1" x14ac:dyDescent="0.4">
      <c r="A109" s="36" t="s">
        <v>189</v>
      </c>
      <c r="B109" s="37">
        <v>65521</v>
      </c>
      <c r="C109" s="37" t="s">
        <v>125</v>
      </c>
      <c r="D109" s="38" t="s">
        <v>70</v>
      </c>
      <c r="E109" s="98">
        <v>3.0299999999999997E-2</v>
      </c>
      <c r="F109" s="99">
        <v>2.3E-2</v>
      </c>
      <c r="G109" s="39">
        <v>46307</v>
      </c>
      <c r="H109" s="39">
        <v>46320</v>
      </c>
      <c r="I109" s="40">
        <v>1.1863013698630136</v>
      </c>
      <c r="J109" s="41">
        <v>100</v>
      </c>
      <c r="K109" s="42">
        <v>59.2</v>
      </c>
      <c r="L109" s="43">
        <v>0.44510135135135137</v>
      </c>
      <c r="M109" s="44">
        <v>99</v>
      </c>
      <c r="N109" s="45">
        <v>1.224212523719165</v>
      </c>
      <c r="O109" s="100">
        <v>2029.9999999999998</v>
      </c>
      <c r="P109" s="46">
        <v>1</v>
      </c>
      <c r="Q109" s="47">
        <v>5000</v>
      </c>
      <c r="R109" s="46">
        <v>0.41099999999999998</v>
      </c>
      <c r="S109" s="48" t="s">
        <v>27</v>
      </c>
      <c r="T109" s="49"/>
      <c r="U109" s="50"/>
      <c r="V109" s="51" t="str">
        <f t="shared" si="3"/>
        <v>易華電一</v>
      </c>
      <c r="W109" s="52">
        <v>3.0000000000000001E-3</v>
      </c>
    </row>
    <row r="110" spans="1:23" s="7" customFormat="1" ht="17.25" customHeight="1" x14ac:dyDescent="0.4">
      <c r="A110" s="36" t="s">
        <v>34</v>
      </c>
      <c r="B110" s="37">
        <v>65841</v>
      </c>
      <c r="C110" s="37" t="s">
        <v>152</v>
      </c>
      <c r="D110" s="38" t="s">
        <v>66</v>
      </c>
      <c r="E110" s="98">
        <v>2.06E-2</v>
      </c>
      <c r="F110" s="99">
        <v>2.3E-2</v>
      </c>
      <c r="G110" s="39">
        <v>46310</v>
      </c>
      <c r="H110" s="39">
        <v>46324</v>
      </c>
      <c r="I110" s="40">
        <v>1.1972602739726028</v>
      </c>
      <c r="J110" s="41">
        <v>101.0025</v>
      </c>
      <c r="K110" s="42">
        <v>178.8</v>
      </c>
      <c r="L110" s="43">
        <v>1.1772930648769575</v>
      </c>
      <c r="M110" s="44">
        <v>125</v>
      </c>
      <c r="N110" s="45">
        <v>6.1757719714964354E-2</v>
      </c>
      <c r="O110" s="100">
        <v>27060</v>
      </c>
      <c r="P110" s="46">
        <v>0.99985714285714289</v>
      </c>
      <c r="Q110" s="47">
        <v>7000</v>
      </c>
      <c r="R110" s="46">
        <v>0.497</v>
      </c>
      <c r="S110" s="48" t="s">
        <v>27</v>
      </c>
      <c r="T110" s="49"/>
      <c r="U110" s="50"/>
      <c r="V110" s="51" t="str">
        <f t="shared" si="3"/>
        <v>南俊國際一</v>
      </c>
      <c r="W110" s="52">
        <v>3.0000000000000001E-3</v>
      </c>
    </row>
    <row r="111" spans="1:23" s="7" customFormat="1" ht="17.25" customHeight="1" x14ac:dyDescent="0.4">
      <c r="A111" s="36" t="s">
        <v>190</v>
      </c>
      <c r="B111" s="37">
        <v>65851</v>
      </c>
      <c r="C111" s="37" t="s">
        <v>141</v>
      </c>
      <c r="D111" s="38" t="s">
        <v>77</v>
      </c>
      <c r="E111" s="98">
        <v>3.04E-2</v>
      </c>
      <c r="F111" s="99">
        <v>2.3E-2</v>
      </c>
      <c r="G111" s="39">
        <v>46307</v>
      </c>
      <c r="H111" s="39">
        <v>46321</v>
      </c>
      <c r="I111" s="40">
        <v>1.189041095890411</v>
      </c>
      <c r="J111" s="41">
        <v>100</v>
      </c>
      <c r="K111" s="42">
        <v>110.9</v>
      </c>
      <c r="L111" s="43">
        <v>0.87105500450856621</v>
      </c>
      <c r="M111" s="44">
        <v>106.85</v>
      </c>
      <c r="N111" s="45">
        <v>0.22667339544513457</v>
      </c>
      <c r="O111" s="100">
        <v>9889.9999999999945</v>
      </c>
      <c r="P111" s="46">
        <v>0.54620000000000002</v>
      </c>
      <c r="Q111" s="47">
        <v>5000</v>
      </c>
      <c r="R111" s="46">
        <v>0.35699999999999998</v>
      </c>
      <c r="S111" s="48" t="s">
        <v>27</v>
      </c>
      <c r="T111" s="49"/>
      <c r="U111" s="50"/>
      <c r="V111" s="51" t="str">
        <f t="shared" si="3"/>
        <v>鼎基一</v>
      </c>
      <c r="W111" s="52">
        <v>3.0000000000000001E-3</v>
      </c>
    </row>
    <row r="112" spans="1:23" s="7" customFormat="1" ht="17.25" customHeight="1" x14ac:dyDescent="0.4">
      <c r="A112" s="36" t="s">
        <v>191</v>
      </c>
      <c r="B112" s="37">
        <v>65931</v>
      </c>
      <c r="C112" s="37" t="s">
        <v>125</v>
      </c>
      <c r="D112" s="38" t="s">
        <v>66</v>
      </c>
      <c r="E112" s="98">
        <v>1.0200000000000001E-2</v>
      </c>
      <c r="F112" s="99">
        <v>2.1999999999999999E-2</v>
      </c>
      <c r="G112" s="39">
        <v>45992</v>
      </c>
      <c r="H112" s="39">
        <v>46005</v>
      </c>
      <c r="I112" s="40">
        <v>0.32328767123287672</v>
      </c>
      <c r="J112" s="41">
        <v>100</v>
      </c>
      <c r="K112" s="42">
        <v>37.15</v>
      </c>
      <c r="L112" s="43">
        <v>1.4266487213997308</v>
      </c>
      <c r="M112" s="44">
        <v>298</v>
      </c>
      <c r="N112" s="45">
        <v>1.088811320754717</v>
      </c>
      <c r="O112" s="100">
        <v>199020</v>
      </c>
      <c r="P112" s="46">
        <v>0.11600000000000001</v>
      </c>
      <c r="Q112" s="47">
        <v>3000</v>
      </c>
      <c r="R112" s="46">
        <v>0.28899999999999998</v>
      </c>
      <c r="S112" s="48" t="s">
        <v>27</v>
      </c>
      <c r="T112" s="49"/>
      <c r="U112" s="50"/>
      <c r="V112" s="51" t="str">
        <f t="shared" si="3"/>
        <v>台灣銘板一</v>
      </c>
      <c r="W112" s="52">
        <v>3.0000000000000001E-3</v>
      </c>
    </row>
    <row r="113" spans="1:23" s="7" customFormat="1" ht="17.25" customHeight="1" x14ac:dyDescent="0.4">
      <c r="A113" s="36" t="s">
        <v>192</v>
      </c>
      <c r="B113" s="37">
        <v>66241</v>
      </c>
      <c r="C113" s="37" t="s">
        <v>115</v>
      </c>
      <c r="D113" s="38" t="s">
        <v>66</v>
      </c>
      <c r="E113" s="98">
        <v>3.8800000000000008E-2</v>
      </c>
      <c r="F113" s="99">
        <v>2.3E-2</v>
      </c>
      <c r="G113" s="39">
        <v>46559</v>
      </c>
      <c r="H113" s="39">
        <v>46573</v>
      </c>
      <c r="I113" s="40">
        <v>1.8794520547945206</v>
      </c>
      <c r="J113" s="41">
        <v>100.75</v>
      </c>
      <c r="K113" s="42">
        <v>40.6</v>
      </c>
      <c r="L113" s="43">
        <v>0.86206896551724133</v>
      </c>
      <c r="M113" s="44">
        <v>105</v>
      </c>
      <c r="N113" s="45">
        <v>0.21800000000000014</v>
      </c>
      <c r="O113" s="100">
        <v>8880.0000000000018</v>
      </c>
      <c r="P113" s="46">
        <v>1</v>
      </c>
      <c r="Q113" s="47">
        <v>1000</v>
      </c>
      <c r="R113" s="46">
        <v>0.251</v>
      </c>
      <c r="S113" s="48" t="s">
        <v>27</v>
      </c>
      <c r="T113" s="49"/>
      <c r="U113" s="50"/>
      <c r="V113" s="51" t="str">
        <f t="shared" si="3"/>
        <v>萬年清一</v>
      </c>
      <c r="W113" s="52">
        <v>3.0000000000000001E-3</v>
      </c>
    </row>
    <row r="114" spans="1:23" s="7" customFormat="1" ht="17.25" customHeight="1" x14ac:dyDescent="0.4">
      <c r="A114" s="36" t="s">
        <v>193</v>
      </c>
      <c r="B114" s="37">
        <v>67152</v>
      </c>
      <c r="C114" s="37" t="s">
        <v>69</v>
      </c>
      <c r="D114" s="38" t="s">
        <v>77</v>
      </c>
      <c r="E114" s="98">
        <v>4.5600000000000009E-2</v>
      </c>
      <c r="F114" s="99">
        <v>0.03</v>
      </c>
      <c r="G114" s="39">
        <v>46391</v>
      </c>
      <c r="H114" s="39">
        <v>46405</v>
      </c>
      <c r="I114" s="40">
        <v>1.4191780821917808</v>
      </c>
      <c r="J114" s="41">
        <v>100</v>
      </c>
      <c r="K114" s="42">
        <v>157.1</v>
      </c>
      <c r="L114" s="43">
        <v>0.68109484404837684</v>
      </c>
      <c r="M114" s="44">
        <v>105.9</v>
      </c>
      <c r="N114" s="45">
        <v>0.55484953271028037</v>
      </c>
      <c r="O114" s="100">
        <v>10460.000000000007</v>
      </c>
      <c r="P114" s="46">
        <v>1</v>
      </c>
      <c r="Q114" s="47">
        <v>3000</v>
      </c>
      <c r="R114" s="46">
        <v>0.27600000000000002</v>
      </c>
      <c r="S114" s="48" t="s">
        <v>28</v>
      </c>
      <c r="T114" s="49"/>
      <c r="U114" s="50"/>
      <c r="V114" s="51" t="str">
        <f t="shared" si="3"/>
        <v>嘉基二</v>
      </c>
      <c r="W114" s="52">
        <v>3.0000000000000001E-3</v>
      </c>
    </row>
    <row r="115" spans="1:23" s="7" customFormat="1" ht="17.25" customHeight="1" x14ac:dyDescent="0.4">
      <c r="A115" s="36" t="s">
        <v>194</v>
      </c>
      <c r="B115" s="37">
        <v>67531</v>
      </c>
      <c r="C115" s="37" t="s">
        <v>69</v>
      </c>
      <c r="D115" s="38" t="s">
        <v>77</v>
      </c>
      <c r="E115" s="98">
        <v>7.7100000000000002E-2</v>
      </c>
      <c r="F115" s="99">
        <v>0.04</v>
      </c>
      <c r="G115" s="39">
        <v>46549</v>
      </c>
      <c r="H115" s="39">
        <v>46563</v>
      </c>
      <c r="I115" s="40">
        <v>1.8520547945205479</v>
      </c>
      <c r="J115" s="41">
        <v>100</v>
      </c>
      <c r="K115" s="42">
        <v>117.9</v>
      </c>
      <c r="L115" s="43">
        <v>0.93723494486853265</v>
      </c>
      <c r="M115" s="44">
        <v>109.6</v>
      </c>
      <c r="N115" s="45">
        <v>0.16939728506787319</v>
      </c>
      <c r="O115" s="100">
        <v>17309.999999999996</v>
      </c>
      <c r="P115" s="46">
        <v>1</v>
      </c>
      <c r="Q115" s="47">
        <v>10000</v>
      </c>
      <c r="R115" s="46">
        <v>0.47599999999999998</v>
      </c>
      <c r="S115" s="48" t="s">
        <v>28</v>
      </c>
      <c r="T115" s="49"/>
      <c r="U115" s="50"/>
      <c r="V115" s="51" t="str">
        <f t="shared" si="3"/>
        <v>龍德造船一</v>
      </c>
      <c r="W115" s="52">
        <v>3.0000000000000001E-3</v>
      </c>
    </row>
    <row r="116" spans="1:23" s="7" customFormat="1" ht="17.25" customHeight="1" x14ac:dyDescent="0.4">
      <c r="A116" s="36" t="s">
        <v>195</v>
      </c>
      <c r="B116" s="37">
        <v>67681</v>
      </c>
      <c r="C116" s="37" t="s">
        <v>69</v>
      </c>
      <c r="D116" s="38" t="s">
        <v>72</v>
      </c>
      <c r="E116" s="98">
        <v>9.1200000000000003E-2</v>
      </c>
      <c r="F116" s="99">
        <v>0.04</v>
      </c>
      <c r="G116" s="39">
        <v>46678</v>
      </c>
      <c r="H116" s="39">
        <v>46691</v>
      </c>
      <c r="I116" s="40">
        <v>2.2027397260273971</v>
      </c>
      <c r="J116" s="41">
        <v>100</v>
      </c>
      <c r="K116" s="42">
        <v>95.2</v>
      </c>
      <c r="L116" s="43">
        <v>1.1607142857142856</v>
      </c>
      <c r="M116" s="44">
        <v>125.2</v>
      </c>
      <c r="N116" s="45">
        <v>7.8646153846154018E-2</v>
      </c>
      <c r="O116" s="100">
        <v>34320</v>
      </c>
      <c r="P116" s="46">
        <v>0.59099999999999997</v>
      </c>
      <c r="Q116" s="47">
        <v>10000</v>
      </c>
      <c r="R116" s="46">
        <v>0.245</v>
      </c>
      <c r="S116" s="48" t="s">
        <v>28</v>
      </c>
      <c r="T116" s="49"/>
      <c r="U116" s="50"/>
      <c r="V116" s="51" t="str">
        <f t="shared" si="3"/>
        <v>志強一KY</v>
      </c>
      <c r="W116" s="52">
        <v>3.0000000000000001E-3</v>
      </c>
    </row>
    <row r="117" spans="1:23" s="7" customFormat="1" ht="17.25" customHeight="1" x14ac:dyDescent="0.4">
      <c r="A117" s="36" t="s">
        <v>196</v>
      </c>
      <c r="B117" s="37">
        <v>67711</v>
      </c>
      <c r="C117" s="37" t="s">
        <v>160</v>
      </c>
      <c r="D117" s="38" t="s">
        <v>70</v>
      </c>
      <c r="E117" s="98">
        <v>3.2599999999999997E-2</v>
      </c>
      <c r="F117" s="99">
        <v>2.3E-2</v>
      </c>
      <c r="G117" s="39">
        <v>46503</v>
      </c>
      <c r="H117" s="39">
        <v>46515</v>
      </c>
      <c r="I117" s="40">
        <v>1.7205479452054795</v>
      </c>
      <c r="J117" s="41">
        <v>101.0025</v>
      </c>
      <c r="K117" s="42">
        <v>51.66</v>
      </c>
      <c r="L117" s="43">
        <v>1.0472319008904376</v>
      </c>
      <c r="M117" s="44">
        <v>109.8</v>
      </c>
      <c r="N117" s="45">
        <v>4.8478373382624673E-2</v>
      </c>
      <c r="O117" s="100">
        <v>13059.999999999996</v>
      </c>
      <c r="P117" s="46">
        <v>1</v>
      </c>
      <c r="Q117" s="47">
        <v>3500</v>
      </c>
      <c r="R117" s="46">
        <v>0.14099999999999999</v>
      </c>
      <c r="S117" s="48" t="s">
        <v>27</v>
      </c>
      <c r="T117" s="49"/>
      <c r="U117" s="50"/>
      <c r="V117" s="51" t="str">
        <f t="shared" si="3"/>
        <v>平和環保一創</v>
      </c>
      <c r="W117" s="52">
        <v>3.0000000000000001E-3</v>
      </c>
    </row>
    <row r="118" spans="1:23" s="7" customFormat="1" ht="17.25" customHeight="1" x14ac:dyDescent="0.4">
      <c r="A118" s="36" t="s">
        <v>197</v>
      </c>
      <c r="B118" s="37">
        <v>68701</v>
      </c>
      <c r="C118" s="37" t="s">
        <v>69</v>
      </c>
      <c r="D118" s="38" t="s">
        <v>70</v>
      </c>
      <c r="E118" s="98">
        <v>0.10650000000000001</v>
      </c>
      <c r="F118" s="99">
        <v>4.4999999999999998E-2</v>
      </c>
      <c r="G118" s="39">
        <v>46713</v>
      </c>
      <c r="H118" s="39">
        <v>46726</v>
      </c>
      <c r="I118" s="40">
        <v>2.2986301369863016</v>
      </c>
      <c r="J118" s="41">
        <v>100</v>
      </c>
      <c r="K118" s="42">
        <v>243</v>
      </c>
      <c r="L118" s="43">
        <v>0.86831275720164613</v>
      </c>
      <c r="M118" s="44">
        <v>100.05</v>
      </c>
      <c r="N118" s="45">
        <v>0.15223459715639803</v>
      </c>
      <c r="O118" s="100">
        <v>10699.999999999998</v>
      </c>
      <c r="P118" s="46">
        <v>1</v>
      </c>
      <c r="Q118" s="47">
        <v>3500</v>
      </c>
      <c r="R118" s="46">
        <v>0.35</v>
      </c>
      <c r="S118" s="48" t="s">
        <v>28</v>
      </c>
      <c r="T118" s="49"/>
      <c r="U118" s="50"/>
      <c r="V118" s="51" t="str">
        <f t="shared" si="3"/>
        <v>騰雲一</v>
      </c>
      <c r="W118" s="52">
        <v>3.0000000000000001E-3</v>
      </c>
    </row>
    <row r="119" spans="1:23" s="7" customFormat="1" ht="17.25" customHeight="1" x14ac:dyDescent="0.4">
      <c r="A119" s="36" t="s">
        <v>198</v>
      </c>
      <c r="B119" s="37">
        <v>68702</v>
      </c>
      <c r="C119" s="37" t="s">
        <v>69</v>
      </c>
      <c r="D119" s="38" t="s">
        <v>70</v>
      </c>
      <c r="E119" s="98">
        <v>0.10650000000000001</v>
      </c>
      <c r="F119" s="99">
        <v>4.4999999999999998E-2</v>
      </c>
      <c r="G119" s="39">
        <v>46713</v>
      </c>
      <c r="H119" s="39">
        <v>46726</v>
      </c>
      <c r="I119" s="40">
        <v>2.2986301369863016</v>
      </c>
      <c r="J119" s="41">
        <v>100</v>
      </c>
      <c r="K119" s="42">
        <v>231.4</v>
      </c>
      <c r="L119" s="43">
        <v>0.91184096802074333</v>
      </c>
      <c r="M119" s="44">
        <v>107.5</v>
      </c>
      <c r="N119" s="45">
        <v>0.17893364928909944</v>
      </c>
      <c r="O119" s="100">
        <v>18150</v>
      </c>
      <c r="P119" s="46">
        <v>1</v>
      </c>
      <c r="Q119" s="47">
        <v>3500</v>
      </c>
      <c r="R119" s="46">
        <v>0.35</v>
      </c>
      <c r="S119" s="48" t="s">
        <v>28</v>
      </c>
      <c r="T119" s="49"/>
      <c r="U119" s="50"/>
      <c r="V119" s="51" t="str">
        <f t="shared" si="3"/>
        <v>騰雲二</v>
      </c>
      <c r="W119" s="52">
        <v>3.0000000000000001E-3</v>
      </c>
    </row>
    <row r="120" spans="1:23" s="7" customFormat="1" ht="17.25" customHeight="1" x14ac:dyDescent="0.4">
      <c r="A120" s="36" t="s">
        <v>199</v>
      </c>
      <c r="B120" s="37">
        <v>68301</v>
      </c>
      <c r="C120" s="37" t="s">
        <v>69</v>
      </c>
      <c r="D120" s="38" t="s">
        <v>77</v>
      </c>
      <c r="E120" s="98">
        <v>3.5300000000000005E-2</v>
      </c>
      <c r="F120" s="99">
        <v>3.2500000000000001E-2</v>
      </c>
      <c r="G120" s="39">
        <v>46237</v>
      </c>
      <c r="H120" s="39">
        <v>46249</v>
      </c>
      <c r="I120" s="40">
        <v>0.99178082191780825</v>
      </c>
      <c r="J120" s="41">
        <v>100</v>
      </c>
      <c r="K120" s="42">
        <v>147.80000000000001</v>
      </c>
      <c r="L120" s="43">
        <v>1.0148849797023003</v>
      </c>
      <c r="M120" s="44">
        <v>114.5</v>
      </c>
      <c r="N120" s="45">
        <v>0.1282066666666668</v>
      </c>
      <c r="O120" s="100">
        <v>18030</v>
      </c>
      <c r="P120" s="46">
        <v>0.99980000000000002</v>
      </c>
      <c r="Q120" s="47">
        <v>5000</v>
      </c>
      <c r="R120" s="46">
        <v>0.53300000000000003</v>
      </c>
      <c r="S120" s="48" t="s">
        <v>28</v>
      </c>
      <c r="T120" s="49"/>
      <c r="U120" s="50"/>
      <c r="V120" s="51" t="str">
        <f t="shared" si="3"/>
        <v>汎銓一</v>
      </c>
      <c r="W120" s="52">
        <v>3.0000000000000001E-3</v>
      </c>
    </row>
    <row r="121" spans="1:23" s="7" customFormat="1" ht="17.25" customHeight="1" x14ac:dyDescent="0.4">
      <c r="A121" s="36" t="s">
        <v>200</v>
      </c>
      <c r="B121" s="37">
        <v>68541</v>
      </c>
      <c r="C121" s="37" t="s">
        <v>201</v>
      </c>
      <c r="D121" s="38" t="s">
        <v>66</v>
      </c>
      <c r="E121" s="98">
        <v>2.8199999999999999E-2</v>
      </c>
      <c r="F121" s="99">
        <v>2.3E-2</v>
      </c>
      <c r="G121" s="39">
        <v>46433</v>
      </c>
      <c r="H121" s="39">
        <v>46445</v>
      </c>
      <c r="I121" s="40">
        <v>1.5287671232876712</v>
      </c>
      <c r="J121" s="41">
        <v>101.0025</v>
      </c>
      <c r="K121" s="42">
        <v>248.3</v>
      </c>
      <c r="L121" s="43">
        <v>0.65042287555376566</v>
      </c>
      <c r="M121" s="44">
        <v>105.35</v>
      </c>
      <c r="N121" s="45">
        <v>0.61971547987616094</v>
      </c>
      <c r="O121" s="100">
        <v>8169.9999999999936</v>
      </c>
      <c r="P121" s="46">
        <v>1</v>
      </c>
      <c r="Q121" s="47">
        <v>8000</v>
      </c>
      <c r="R121" s="46">
        <v>0.36799999999999999</v>
      </c>
      <c r="S121" s="48" t="s">
        <v>27</v>
      </c>
      <c r="T121" s="49"/>
      <c r="U121" s="53"/>
      <c r="V121" s="51" t="str">
        <f t="shared" ref="V121:V136" si="4">A121</f>
        <v>錼創科技一KY創</v>
      </c>
      <c r="W121" s="52">
        <v>3.0000000000000001E-3</v>
      </c>
    </row>
    <row r="122" spans="1:23" s="7" customFormat="1" ht="17.25" customHeight="1" x14ac:dyDescent="0.4">
      <c r="A122" s="36" t="s">
        <v>202</v>
      </c>
      <c r="B122" s="37">
        <v>68732</v>
      </c>
      <c r="C122" s="37" t="s">
        <v>69</v>
      </c>
      <c r="D122" s="38" t="s">
        <v>77</v>
      </c>
      <c r="E122" s="98">
        <v>0.11310000000000001</v>
      </c>
      <c r="F122" s="99">
        <v>4.4999999999999998E-2</v>
      </c>
      <c r="G122" s="39">
        <v>46888</v>
      </c>
      <c r="H122" s="39">
        <v>46902</v>
      </c>
      <c r="I122" s="40">
        <v>2.7808219178082192</v>
      </c>
      <c r="J122" s="41">
        <v>101.50749999999999</v>
      </c>
      <c r="K122" s="42">
        <v>215.4</v>
      </c>
      <c r="L122" s="43">
        <v>0.79851439182915518</v>
      </c>
      <c r="M122" s="44">
        <v>102.95</v>
      </c>
      <c r="N122" s="45">
        <v>0.28926918604651153</v>
      </c>
      <c r="O122" s="100">
        <v>14260.000000000004</v>
      </c>
      <c r="P122" s="46">
        <v>1</v>
      </c>
      <c r="Q122" s="47">
        <v>30000</v>
      </c>
      <c r="R122" s="46">
        <v>0.42099999999999999</v>
      </c>
      <c r="S122" s="48" t="s">
        <v>28</v>
      </c>
      <c r="T122" s="49" t="s">
        <v>3</v>
      </c>
      <c r="U122" s="50"/>
      <c r="V122" s="51" t="str">
        <f t="shared" si="4"/>
        <v>泓德能源二</v>
      </c>
      <c r="W122" s="52">
        <v>3.0000000000000001E-3</v>
      </c>
    </row>
    <row r="123" spans="1:23" s="7" customFormat="1" ht="17.25" customHeight="1" x14ac:dyDescent="0.4">
      <c r="A123" s="36" t="s">
        <v>203</v>
      </c>
      <c r="B123" s="37">
        <v>81551</v>
      </c>
      <c r="C123" s="37" t="s">
        <v>69</v>
      </c>
      <c r="D123" s="38" t="s">
        <v>72</v>
      </c>
      <c r="E123" s="98">
        <v>6.3E-2</v>
      </c>
      <c r="F123" s="99">
        <v>2.5000000000000001E-2</v>
      </c>
      <c r="G123" s="39">
        <v>46748</v>
      </c>
      <c r="H123" s="39">
        <v>46762</v>
      </c>
      <c r="I123" s="40">
        <v>2.3972602739726026</v>
      </c>
      <c r="J123" s="41">
        <v>100</v>
      </c>
      <c r="K123" s="42">
        <v>121.6</v>
      </c>
      <c r="L123" s="43">
        <v>1.2541118421052633</v>
      </c>
      <c r="M123" s="44">
        <v>130</v>
      </c>
      <c r="N123" s="45">
        <v>3.6590163934426115E-2</v>
      </c>
      <c r="O123" s="100">
        <v>36300</v>
      </c>
      <c r="P123" s="46">
        <v>1</v>
      </c>
      <c r="Q123" s="47">
        <v>10000</v>
      </c>
      <c r="R123" s="46">
        <v>0.58099999999999996</v>
      </c>
      <c r="S123" s="48" t="s">
        <v>28</v>
      </c>
      <c r="T123" s="49"/>
      <c r="U123" s="50"/>
      <c r="V123" s="51" t="str">
        <f t="shared" si="4"/>
        <v>博智一</v>
      </c>
      <c r="W123" s="52">
        <v>3.0000000000000001E-3</v>
      </c>
    </row>
    <row r="124" spans="1:23" s="7" customFormat="1" ht="17" x14ac:dyDescent="0.4">
      <c r="A124" s="36" t="s">
        <v>204</v>
      </c>
      <c r="B124" s="37">
        <v>82551</v>
      </c>
      <c r="C124" s="37" t="s">
        <v>69</v>
      </c>
      <c r="D124" s="38" t="s">
        <v>72</v>
      </c>
      <c r="E124" s="98">
        <v>2.9399999999999999E-2</v>
      </c>
      <c r="F124" s="99">
        <v>2.7E-2</v>
      </c>
      <c r="G124" s="39">
        <v>46230</v>
      </c>
      <c r="H124" s="39">
        <v>46243</v>
      </c>
      <c r="I124" s="40">
        <v>0.97534246575342465</v>
      </c>
      <c r="J124" s="41">
        <v>100</v>
      </c>
      <c r="K124" s="42">
        <v>196.2</v>
      </c>
      <c r="L124" s="43">
        <v>0.64475025484199799</v>
      </c>
      <c r="M124" s="44">
        <v>102.95</v>
      </c>
      <c r="N124" s="45">
        <v>0.59674229249011845</v>
      </c>
      <c r="O124" s="100">
        <v>5890.0000000000027</v>
      </c>
      <c r="P124" s="46">
        <v>0.99987499999999996</v>
      </c>
      <c r="Q124" s="47">
        <v>8000</v>
      </c>
      <c r="R124" s="46">
        <v>0.28599999999999998</v>
      </c>
      <c r="S124" s="48" t="s">
        <v>28</v>
      </c>
      <c r="T124" s="49"/>
      <c r="U124" s="50"/>
      <c r="V124" s="51" t="str">
        <f t="shared" si="4"/>
        <v>朋程一</v>
      </c>
      <c r="W124" s="52">
        <v>3.0000000000000001E-3</v>
      </c>
    </row>
    <row r="125" spans="1:23" s="7" customFormat="1" ht="17" x14ac:dyDescent="0.4">
      <c r="A125" s="36" t="s">
        <v>205</v>
      </c>
      <c r="B125" s="37">
        <v>82992</v>
      </c>
      <c r="C125" s="37" t="s">
        <v>69</v>
      </c>
      <c r="D125" s="38" t="s">
        <v>87</v>
      </c>
      <c r="E125" s="98">
        <v>4.0300000000000002E-2</v>
      </c>
      <c r="F125" s="99">
        <v>2.5999999999999999E-2</v>
      </c>
      <c r="G125" s="39">
        <v>46398</v>
      </c>
      <c r="H125" s="39">
        <v>46410</v>
      </c>
      <c r="I125" s="40">
        <v>1.4328767123287671</v>
      </c>
      <c r="J125" s="41">
        <v>100</v>
      </c>
      <c r="K125" s="42">
        <v>550.5</v>
      </c>
      <c r="L125" s="43">
        <v>0.89373297002724794</v>
      </c>
      <c r="M125" s="44">
        <v>111.5</v>
      </c>
      <c r="N125" s="45">
        <v>0.24757621951219511</v>
      </c>
      <c r="O125" s="100">
        <v>15530</v>
      </c>
      <c r="P125" s="46">
        <v>1</v>
      </c>
      <c r="Q125" s="47">
        <v>60000</v>
      </c>
      <c r="R125" s="46">
        <v>0.27500000000000002</v>
      </c>
      <c r="S125" s="48" t="s">
        <v>28</v>
      </c>
      <c r="T125" s="49"/>
      <c r="U125" s="50"/>
      <c r="V125" s="51" t="str">
        <f t="shared" si="4"/>
        <v>群聯二</v>
      </c>
      <c r="W125" s="52">
        <v>3.0000000000000001E-3</v>
      </c>
    </row>
    <row r="126" spans="1:23" s="7" customFormat="1" ht="17.25" customHeight="1" x14ac:dyDescent="0.4">
      <c r="A126" s="36" t="s">
        <v>206</v>
      </c>
      <c r="B126" s="37">
        <v>84113</v>
      </c>
      <c r="C126" s="37" t="s">
        <v>207</v>
      </c>
      <c r="D126" s="38" t="s">
        <v>70</v>
      </c>
      <c r="E126" s="98">
        <v>6.3500000000000001E-2</v>
      </c>
      <c r="F126" s="99">
        <v>2.3E-2</v>
      </c>
      <c r="G126" s="39">
        <v>46952</v>
      </c>
      <c r="H126" s="39">
        <v>46966</v>
      </c>
      <c r="I126" s="40">
        <v>2.956164383561644</v>
      </c>
      <c r="J126" s="41">
        <v>100.75190000000001</v>
      </c>
      <c r="K126" s="42">
        <v>13.3</v>
      </c>
      <c r="L126" s="43">
        <v>0.97368421052631571</v>
      </c>
      <c r="M126" s="44">
        <v>101.25</v>
      </c>
      <c r="N126" s="45">
        <v>3.9864864864864902E-2</v>
      </c>
      <c r="O126" s="100">
        <v>7600</v>
      </c>
      <c r="P126" s="46">
        <v>1</v>
      </c>
      <c r="Q126" s="47">
        <v>12000</v>
      </c>
      <c r="R126" s="46">
        <v>0.13200000000000001</v>
      </c>
      <c r="S126" s="48" t="s">
        <v>28</v>
      </c>
      <c r="T126" s="49"/>
      <c r="U126" s="53"/>
      <c r="V126" s="51" t="str">
        <f t="shared" si="4"/>
        <v>福貞三KY</v>
      </c>
      <c r="W126" s="52">
        <v>3.0000000000000001E-3</v>
      </c>
    </row>
    <row r="127" spans="1:23" s="7" customFormat="1" ht="17" x14ac:dyDescent="0.4">
      <c r="A127" s="36" t="s">
        <v>208</v>
      </c>
      <c r="B127" s="37">
        <v>84222</v>
      </c>
      <c r="C127" s="37" t="s">
        <v>69</v>
      </c>
      <c r="D127" s="38" t="s">
        <v>72</v>
      </c>
      <c r="E127" s="98">
        <v>8.8800000000000004E-2</v>
      </c>
      <c r="F127" s="99">
        <v>3.2500000000000001E-2</v>
      </c>
      <c r="G127" s="39">
        <v>46836</v>
      </c>
      <c r="H127" s="39">
        <v>46850</v>
      </c>
      <c r="I127" s="40">
        <v>2.6383561643835618</v>
      </c>
      <c r="J127" s="41">
        <v>100</v>
      </c>
      <c r="K127" s="42">
        <v>189.8</v>
      </c>
      <c r="L127" s="43">
        <v>1.0142255005268703</v>
      </c>
      <c r="M127" s="44">
        <v>112.4</v>
      </c>
      <c r="N127" s="45">
        <v>0.10823480519480536</v>
      </c>
      <c r="O127" s="100">
        <v>21280.000000000004</v>
      </c>
      <c r="P127" s="46">
        <v>1</v>
      </c>
      <c r="Q127" s="47">
        <v>20000</v>
      </c>
      <c r="R127" s="46">
        <v>0.13600000000000001</v>
      </c>
      <c r="S127" s="48" t="s">
        <v>28</v>
      </c>
      <c r="T127" s="49"/>
      <c r="U127" s="50"/>
      <c r="V127" s="51" t="str">
        <f t="shared" si="4"/>
        <v>可寧衛二</v>
      </c>
      <c r="W127" s="52">
        <v>3.0000000000000001E-3</v>
      </c>
    </row>
    <row r="128" spans="1:23" s="7" customFormat="1" ht="17" x14ac:dyDescent="0.4">
      <c r="A128" s="36" t="s">
        <v>209</v>
      </c>
      <c r="B128" s="37">
        <v>84422</v>
      </c>
      <c r="C128" s="37" t="s">
        <v>59</v>
      </c>
      <c r="D128" s="38" t="s">
        <v>70</v>
      </c>
      <c r="E128" s="98">
        <v>0.03</v>
      </c>
      <c r="F128" s="99">
        <v>2.3E-2</v>
      </c>
      <c r="G128" s="39">
        <v>46300</v>
      </c>
      <c r="H128" s="39">
        <v>46314</v>
      </c>
      <c r="I128" s="40">
        <v>1.1698630136986301</v>
      </c>
      <c r="J128" s="41">
        <v>100</v>
      </c>
      <c r="K128" s="42">
        <v>73.900000000000006</v>
      </c>
      <c r="L128" s="43">
        <v>1.0230040595399186</v>
      </c>
      <c r="M128" s="44">
        <v>115.65</v>
      </c>
      <c r="N128" s="45">
        <v>0.13049404761904795</v>
      </c>
      <c r="O128" s="100">
        <v>18650.000000000007</v>
      </c>
      <c r="P128" s="46">
        <v>0.90375000000000005</v>
      </c>
      <c r="Q128" s="47">
        <v>4000</v>
      </c>
      <c r="R128" s="46">
        <v>0.27100000000000002</v>
      </c>
      <c r="S128" s="48" t="s">
        <v>27</v>
      </c>
      <c r="T128" s="49"/>
      <c r="U128" s="50"/>
      <c r="V128" s="51" t="str">
        <f t="shared" si="4"/>
        <v>威宏二KY</v>
      </c>
      <c r="W128" s="52">
        <v>3.0000000000000001E-3</v>
      </c>
    </row>
    <row r="129" spans="1:23" s="7" customFormat="1" ht="17.25" customHeight="1" x14ac:dyDescent="0.4">
      <c r="A129" s="36" t="s">
        <v>210</v>
      </c>
      <c r="B129" s="37">
        <v>84672</v>
      </c>
      <c r="C129" s="37" t="s">
        <v>59</v>
      </c>
      <c r="D129" s="38" t="s">
        <v>70</v>
      </c>
      <c r="E129" s="98">
        <v>4.4000000000000004E-2</v>
      </c>
      <c r="F129" s="99">
        <v>2.3E-2</v>
      </c>
      <c r="G129" s="39">
        <v>46524</v>
      </c>
      <c r="H129" s="39">
        <v>46537</v>
      </c>
      <c r="I129" s="40">
        <v>1.7808219178082192</v>
      </c>
      <c r="J129" s="41">
        <v>100</v>
      </c>
      <c r="K129" s="42">
        <v>191.4</v>
      </c>
      <c r="L129" s="43">
        <v>0.91692789968652033</v>
      </c>
      <c r="M129" s="44">
        <v>112.85</v>
      </c>
      <c r="N129" s="45">
        <v>0.23074017094017091</v>
      </c>
      <c r="O129" s="100">
        <v>17249.999999999996</v>
      </c>
      <c r="P129" s="46">
        <v>0.55238095238095242</v>
      </c>
      <c r="Q129" s="47">
        <v>2100</v>
      </c>
      <c r="R129" s="46">
        <v>0.38800000000000001</v>
      </c>
      <c r="S129" s="48" t="s">
        <v>27</v>
      </c>
      <c r="T129" s="49"/>
      <c r="U129" s="50"/>
      <c r="V129" s="51" t="str">
        <f t="shared" si="4"/>
        <v>波力二KY</v>
      </c>
      <c r="W129" s="52">
        <v>3.0000000000000001E-3</v>
      </c>
    </row>
    <row r="130" spans="1:23" s="7" customFormat="1" ht="17.25" customHeight="1" x14ac:dyDescent="0.4">
      <c r="A130" s="36" t="s">
        <v>211</v>
      </c>
      <c r="B130" s="37">
        <v>84732</v>
      </c>
      <c r="C130" s="37" t="s">
        <v>69</v>
      </c>
      <c r="D130" s="38" t="s">
        <v>70</v>
      </c>
      <c r="E130" s="98">
        <v>2.6599999999999999E-2</v>
      </c>
      <c r="F130" s="99">
        <v>3.2500000000000001E-2</v>
      </c>
      <c r="G130" s="39">
        <v>46279</v>
      </c>
      <c r="H130" s="39">
        <v>46293</v>
      </c>
      <c r="I130" s="40">
        <v>1.1123287671232878</v>
      </c>
      <c r="J130" s="41">
        <v>101.26</v>
      </c>
      <c r="K130" s="42">
        <v>34.1</v>
      </c>
      <c r="L130" s="43">
        <v>1.0234604105571847</v>
      </c>
      <c r="M130" s="44">
        <v>106</v>
      </c>
      <c r="N130" s="45">
        <v>3.5702005730659049E-2</v>
      </c>
      <c r="O130" s="100">
        <v>8660</v>
      </c>
      <c r="P130" s="46">
        <v>0.25580000000000003</v>
      </c>
      <c r="Q130" s="47">
        <v>10000</v>
      </c>
      <c r="R130" s="46">
        <v>0.28499999999999998</v>
      </c>
      <c r="S130" s="48" t="s">
        <v>28</v>
      </c>
      <c r="T130" s="49" t="s">
        <v>3</v>
      </c>
      <c r="U130" s="50"/>
      <c r="V130" s="51" t="str">
        <f t="shared" si="4"/>
        <v>山林水二</v>
      </c>
      <c r="W130" s="52">
        <v>3.0000000000000001E-3</v>
      </c>
    </row>
    <row r="131" spans="1:23" s="7" customFormat="1" ht="17.25" customHeight="1" x14ac:dyDescent="0.4">
      <c r="A131" s="36" t="s">
        <v>212</v>
      </c>
      <c r="B131" s="37">
        <v>84881</v>
      </c>
      <c r="C131" s="37" t="s">
        <v>213</v>
      </c>
      <c r="D131" s="38" t="s">
        <v>66</v>
      </c>
      <c r="E131" s="98">
        <v>3.3800000000000004E-2</v>
      </c>
      <c r="F131" s="99">
        <v>2.3E-2</v>
      </c>
      <c r="G131" s="39">
        <v>46363</v>
      </c>
      <c r="H131" s="39">
        <v>46375</v>
      </c>
      <c r="I131" s="40">
        <v>1.3369863013698631</v>
      </c>
      <c r="J131" s="41">
        <v>100</v>
      </c>
      <c r="K131" s="42">
        <v>18.399999999999999</v>
      </c>
      <c r="L131" s="43">
        <v>0.63315217391304357</v>
      </c>
      <c r="M131" s="44">
        <v>98.65</v>
      </c>
      <c r="N131" s="45">
        <v>0.55807725321888391</v>
      </c>
      <c r="O131" s="100">
        <v>2030.0000000000061</v>
      </c>
      <c r="P131" s="46">
        <v>1</v>
      </c>
      <c r="Q131" s="47">
        <v>3000</v>
      </c>
      <c r="R131" s="46">
        <v>0.214</v>
      </c>
      <c r="S131" s="48" t="s">
        <v>27</v>
      </c>
      <c r="T131" s="49"/>
      <c r="U131" s="50"/>
      <c r="V131" s="51" t="str">
        <f t="shared" si="4"/>
        <v>吉源一KY</v>
      </c>
      <c r="W131" s="52">
        <v>3.0000000000000001E-3</v>
      </c>
    </row>
    <row r="132" spans="1:23" s="7" customFormat="1" ht="17.25" customHeight="1" x14ac:dyDescent="0.4">
      <c r="A132" s="36" t="s">
        <v>214</v>
      </c>
      <c r="B132" s="37">
        <v>84891</v>
      </c>
      <c r="C132" s="37" t="s">
        <v>215</v>
      </c>
      <c r="D132" s="38" t="s">
        <v>70</v>
      </c>
      <c r="E132" s="98">
        <v>3.1199999999999999E-2</v>
      </c>
      <c r="F132" s="99">
        <v>2.3E-2</v>
      </c>
      <c r="G132" s="39">
        <v>46351</v>
      </c>
      <c r="H132" s="39">
        <v>46365</v>
      </c>
      <c r="I132" s="40">
        <v>1.3095890410958904</v>
      </c>
      <c r="J132" s="41">
        <v>100.20010000000001</v>
      </c>
      <c r="K132" s="42">
        <v>28.8</v>
      </c>
      <c r="L132" s="43">
        <v>1.4079861111111109</v>
      </c>
      <c r="M132" s="44">
        <v>139</v>
      </c>
      <c r="N132" s="45">
        <v>-1.2774352651047911E-2</v>
      </c>
      <c r="O132" s="100">
        <v>42120</v>
      </c>
      <c r="P132" s="46">
        <v>0.64325850373026872</v>
      </c>
      <c r="Q132" s="47">
        <v>3329.9209999999998</v>
      </c>
      <c r="R132" s="46">
        <v>0.30099999999999999</v>
      </c>
      <c r="S132" s="48" t="s">
        <v>27</v>
      </c>
      <c r="T132" s="49"/>
      <c r="U132" s="50"/>
      <c r="V132" s="51" t="str">
        <f t="shared" si="4"/>
        <v>三貝德一</v>
      </c>
      <c r="W132" s="52">
        <v>3.0000000000000001E-3</v>
      </c>
    </row>
    <row r="133" spans="1:23" s="7" customFormat="1" ht="17.25" customHeight="1" x14ac:dyDescent="0.4">
      <c r="A133" s="36" t="s">
        <v>216</v>
      </c>
      <c r="B133" s="37">
        <v>89277</v>
      </c>
      <c r="C133" s="37" t="s">
        <v>74</v>
      </c>
      <c r="D133" s="38" t="s">
        <v>66</v>
      </c>
      <c r="E133" s="98">
        <v>3.3800000000000004E-2</v>
      </c>
      <c r="F133" s="99">
        <v>2.3E-2</v>
      </c>
      <c r="G133" s="39">
        <v>46601</v>
      </c>
      <c r="H133" s="39">
        <v>46615</v>
      </c>
      <c r="I133" s="40">
        <v>1.9945205479452055</v>
      </c>
      <c r="J133" s="41">
        <v>101.50749999999999</v>
      </c>
      <c r="K133" s="42">
        <v>50.79</v>
      </c>
      <c r="L133" s="43">
        <v>0.78460326835991334</v>
      </c>
      <c r="M133" s="44">
        <v>107</v>
      </c>
      <c r="N133" s="45">
        <v>0.36374654956085317</v>
      </c>
      <c r="O133" s="100">
        <v>10380</v>
      </c>
      <c r="P133" s="46">
        <v>1</v>
      </c>
      <c r="Q133" s="47">
        <v>5900</v>
      </c>
      <c r="R133" s="46">
        <v>0.32700000000000001</v>
      </c>
      <c r="S133" s="48" t="s">
        <v>27</v>
      </c>
      <c r="T133" s="49"/>
      <c r="U133" s="50"/>
      <c r="V133" s="51" t="str">
        <f t="shared" si="4"/>
        <v>北基七</v>
      </c>
      <c r="W133" s="52">
        <v>3.0000000000000001E-3</v>
      </c>
    </row>
    <row r="134" spans="1:23" s="7" customFormat="1" ht="17.25" customHeight="1" x14ac:dyDescent="0.4">
      <c r="A134" s="36" t="s">
        <v>217</v>
      </c>
      <c r="B134" s="37">
        <v>89964</v>
      </c>
      <c r="C134" s="37" t="s">
        <v>69</v>
      </c>
      <c r="D134" s="38" t="s">
        <v>77</v>
      </c>
      <c r="E134" s="98">
        <v>4.1100000000000005E-2</v>
      </c>
      <c r="F134" s="99">
        <v>3.5000000000000003E-2</v>
      </c>
      <c r="G134" s="39">
        <v>46349</v>
      </c>
      <c r="H134" s="39">
        <v>46362</v>
      </c>
      <c r="I134" s="40">
        <v>1.3013698630136987</v>
      </c>
      <c r="J134" s="41">
        <v>100.75190000000001</v>
      </c>
      <c r="K134" s="42">
        <v>233.5</v>
      </c>
      <c r="L134" s="43">
        <v>1.537473233404711</v>
      </c>
      <c r="M134" s="44">
        <v>154</v>
      </c>
      <c r="N134" s="45">
        <v>1.6434540389971748E-3</v>
      </c>
      <c r="O134" s="100">
        <v>58110.000000000007</v>
      </c>
      <c r="P134" s="46">
        <v>0.50319999999999998</v>
      </c>
      <c r="Q134" s="47">
        <v>10000</v>
      </c>
      <c r="R134" s="46">
        <v>0.54200000000000004</v>
      </c>
      <c r="S134" s="48" t="s">
        <v>28</v>
      </c>
      <c r="T134" s="49"/>
      <c r="U134" s="50"/>
      <c r="V134" s="51" t="str">
        <f t="shared" si="4"/>
        <v>高力四</v>
      </c>
      <c r="W134" s="52">
        <v>3.0000000000000001E-3</v>
      </c>
    </row>
    <row r="135" spans="1:23" s="7" customFormat="1" ht="17.25" customHeight="1" x14ac:dyDescent="0.4">
      <c r="A135" s="36" t="s">
        <v>218</v>
      </c>
      <c r="B135" s="37">
        <v>98026</v>
      </c>
      <c r="C135" s="37" t="s">
        <v>69</v>
      </c>
      <c r="D135" s="38" t="s">
        <v>72</v>
      </c>
      <c r="E135" s="98">
        <v>3.6600000000000008E-2</v>
      </c>
      <c r="F135" s="99">
        <v>3.5000000000000003E-2</v>
      </c>
      <c r="G135" s="39">
        <v>46328</v>
      </c>
      <c r="H135" s="39">
        <v>46341</v>
      </c>
      <c r="I135" s="40">
        <v>1.2438356164383562</v>
      </c>
      <c r="J135" s="41">
        <v>101.0025</v>
      </c>
      <c r="K135" s="42">
        <v>109.6</v>
      </c>
      <c r="L135" s="43">
        <v>1.0447080291970803</v>
      </c>
      <c r="M135" s="44">
        <v>122</v>
      </c>
      <c r="N135" s="45">
        <v>0.16779039301310036</v>
      </c>
      <c r="O135" s="100">
        <v>25660</v>
      </c>
      <c r="P135" s="46">
        <v>0.99980000000000002</v>
      </c>
      <c r="Q135" s="47">
        <v>10000</v>
      </c>
      <c r="R135" s="46">
        <v>0.35799999999999998</v>
      </c>
      <c r="S135" s="48" t="s">
        <v>28</v>
      </c>
      <c r="T135" s="49"/>
      <c r="U135" s="50"/>
      <c r="V135" s="51" t="str">
        <f t="shared" si="4"/>
        <v>鈺齊六KY</v>
      </c>
      <c r="W135" s="52">
        <v>3.0000000000000001E-3</v>
      </c>
    </row>
    <row r="136" spans="1:23" s="7" customFormat="1" ht="17.25" customHeight="1" x14ac:dyDescent="0.4">
      <c r="A136" s="36" t="s">
        <v>219</v>
      </c>
      <c r="B136" s="37">
        <v>99392</v>
      </c>
      <c r="C136" s="37" t="s">
        <v>69</v>
      </c>
      <c r="D136" s="38" t="s">
        <v>72</v>
      </c>
      <c r="E136" s="98">
        <v>6.4600000000000005E-2</v>
      </c>
      <c r="F136" s="99">
        <v>2.8000000000000001E-2</v>
      </c>
      <c r="G136" s="39">
        <v>46675</v>
      </c>
      <c r="H136" s="39">
        <v>46689</v>
      </c>
      <c r="I136" s="40">
        <v>2.1972602739726028</v>
      </c>
      <c r="J136" s="41">
        <v>100</v>
      </c>
      <c r="K136" s="42">
        <v>161.19999999999999</v>
      </c>
      <c r="L136" s="43">
        <v>0.86848635235732019</v>
      </c>
      <c r="M136" s="44">
        <v>105.9</v>
      </c>
      <c r="N136" s="45">
        <v>0.21936285714285708</v>
      </c>
      <c r="O136" s="100">
        <v>12360.000000000007</v>
      </c>
      <c r="P136" s="46">
        <v>0.99997499999999995</v>
      </c>
      <c r="Q136" s="47">
        <v>40000</v>
      </c>
      <c r="R136" s="46">
        <v>0.14599999999999999</v>
      </c>
      <c r="S136" s="48" t="s">
        <v>28</v>
      </c>
      <c r="T136" s="49"/>
      <c r="U136" s="50"/>
      <c r="V136" s="51" t="str">
        <f t="shared" si="4"/>
        <v>宏全二</v>
      </c>
      <c r="W136" s="52">
        <v>3.0000000000000001E-3</v>
      </c>
    </row>
    <row r="137" spans="1:23" s="7" customFormat="1" ht="17.25" customHeight="1" x14ac:dyDescent="0.4">
      <c r="A137" s="54"/>
      <c r="B137" s="34"/>
      <c r="C137" s="55"/>
      <c r="D137" s="54"/>
      <c r="E137" s="54"/>
      <c r="F137" s="56"/>
      <c r="G137" s="54" t="s">
        <v>3</v>
      </c>
      <c r="H137" s="54"/>
      <c r="I137" s="21"/>
      <c r="J137" s="22"/>
      <c r="K137" s="22"/>
      <c r="L137" s="56"/>
      <c r="M137" s="56"/>
      <c r="N137" s="56"/>
      <c r="O137" s="56"/>
      <c r="P137" s="56"/>
      <c r="Q137" s="57"/>
      <c r="R137" s="56"/>
      <c r="S137" s="58"/>
      <c r="T137" s="59"/>
      <c r="U137" s="50"/>
      <c r="W137" s="6"/>
    </row>
    <row r="138" spans="1:23" s="7" customFormat="1" ht="17.25" customHeight="1" x14ac:dyDescent="0.4">
      <c r="A138" s="54" t="s">
        <v>35</v>
      </c>
      <c r="B138" s="34"/>
      <c r="C138" s="55"/>
      <c r="D138" s="54"/>
      <c r="E138" s="54"/>
      <c r="F138" s="56"/>
      <c r="G138" s="54" t="s">
        <v>3</v>
      </c>
      <c r="H138" s="54"/>
      <c r="I138" s="21"/>
      <c r="J138" s="22"/>
      <c r="K138" s="22"/>
      <c r="L138" s="56"/>
      <c r="M138" s="56"/>
      <c r="N138" s="56"/>
      <c r="O138" s="56"/>
      <c r="P138" s="56"/>
      <c r="Q138" s="57"/>
      <c r="R138" s="56"/>
      <c r="S138" s="58"/>
      <c r="T138" s="59"/>
      <c r="U138" s="16"/>
      <c r="W138" s="6"/>
    </row>
    <row r="139" spans="1:23" s="7" customFormat="1" ht="8.15" customHeight="1" x14ac:dyDescent="0.4">
      <c r="A139" s="54"/>
      <c r="B139" s="34"/>
      <c r="C139" s="55"/>
      <c r="D139" s="54"/>
      <c r="E139" s="54"/>
      <c r="F139" s="56" t="s">
        <v>3</v>
      </c>
      <c r="G139" s="54"/>
      <c r="H139" s="54"/>
      <c r="I139" s="21"/>
      <c r="J139" s="22"/>
      <c r="K139" s="22"/>
      <c r="L139" s="56"/>
      <c r="M139" s="56"/>
      <c r="N139" s="56"/>
      <c r="O139" s="56"/>
      <c r="P139" s="56"/>
      <c r="Q139" s="57"/>
      <c r="R139" s="56"/>
      <c r="S139" s="58"/>
      <c r="T139" s="59"/>
      <c r="U139" s="16"/>
      <c r="W139" s="6"/>
    </row>
    <row r="140" spans="1:23" s="7" customFormat="1" ht="17.25" customHeight="1" x14ac:dyDescent="0.4">
      <c r="A140" s="61"/>
      <c r="B140" s="62" t="s">
        <v>36</v>
      </c>
      <c r="C140" s="62" t="s">
        <v>37</v>
      </c>
      <c r="D140" s="63" t="s">
        <v>38</v>
      </c>
      <c r="E140" s="63"/>
      <c r="F140" s="64" t="s">
        <v>39</v>
      </c>
      <c r="G140" s="63" t="s">
        <v>40</v>
      </c>
      <c r="H140" s="63"/>
      <c r="I140" s="63" t="s">
        <v>41</v>
      </c>
      <c r="J140" s="63"/>
      <c r="K140" s="56"/>
      <c r="L140" s="56"/>
      <c r="M140" s="56"/>
      <c r="N140" s="56"/>
      <c r="O140" s="56"/>
      <c r="P140" s="58"/>
      <c r="Q140" s="65"/>
      <c r="R140" s="59"/>
      <c r="S140" s="59"/>
      <c r="T140" s="66"/>
      <c r="U140" s="6"/>
      <c r="V140" s="6"/>
      <c r="W140" s="5"/>
    </row>
    <row r="141" spans="1:23" s="7" customFormat="1" ht="17.25" customHeight="1" x14ac:dyDescent="0.4">
      <c r="A141" s="67" t="s">
        <v>42</v>
      </c>
      <c r="B141" s="68">
        <v>24361</v>
      </c>
      <c r="C141" s="69" t="str">
        <f>VLOOKUP(B141,B1:W137,21,FALSE)</f>
        <v>偉詮電一</v>
      </c>
      <c r="D141" s="70">
        <f>VLOOKUP(B141,B1:W137,5,FALSE)</f>
        <v>3.5000000000000003E-2</v>
      </c>
      <c r="E141" s="70"/>
      <c r="F141" s="71">
        <f>ROUND(VLOOKUP(B141,B1:W137,4,FALSE),4)</f>
        <v>4.0399999999999998E-2</v>
      </c>
      <c r="G141" s="72">
        <f>VLOOKUP(B141,B:S,12,FALSE)</f>
        <v>102.65</v>
      </c>
      <c r="H141" s="72"/>
      <c r="I141" s="73">
        <f>(F141+(G141/100-1))*100000</f>
        <v>6689.9999999999964</v>
      </c>
      <c r="J141" s="73"/>
      <c r="K141" s="74" t="s">
        <v>43</v>
      </c>
      <c r="L141" s="56"/>
      <c r="M141" s="56"/>
      <c r="N141" s="56"/>
      <c r="O141" s="56"/>
      <c r="P141" s="58"/>
      <c r="Q141" s="65"/>
      <c r="R141" s="59"/>
      <c r="S141" s="59"/>
      <c r="T141" s="66"/>
      <c r="U141" s="6"/>
      <c r="V141" s="6"/>
      <c r="W141" s="5"/>
    </row>
    <row r="142" spans="1:23" s="7" customFormat="1" ht="17.25" customHeight="1" x14ac:dyDescent="0.4">
      <c r="A142" s="54"/>
      <c r="B142" s="34"/>
      <c r="C142" s="55"/>
      <c r="D142" s="54"/>
      <c r="E142" s="54"/>
      <c r="F142" s="56"/>
      <c r="G142" s="54"/>
      <c r="H142" s="54"/>
      <c r="I142" s="21"/>
      <c r="J142" s="22"/>
      <c r="K142" s="22"/>
      <c r="L142" s="56"/>
      <c r="M142" s="56"/>
      <c r="N142" s="56"/>
      <c r="O142" s="56"/>
      <c r="P142" s="56"/>
      <c r="Q142" s="57"/>
      <c r="R142" s="56"/>
      <c r="S142" s="58"/>
      <c r="T142" s="59"/>
      <c r="U142" s="16"/>
      <c r="W142" s="6"/>
    </row>
    <row r="143" spans="1:23" s="7" customFormat="1" ht="17.25" customHeight="1" x14ac:dyDescent="0.4">
      <c r="A143" s="54" t="s">
        <v>44</v>
      </c>
      <c r="B143" s="34"/>
      <c r="C143" s="55"/>
      <c r="D143" s="54"/>
      <c r="E143" s="54"/>
      <c r="F143" s="56"/>
      <c r="G143" s="54"/>
      <c r="H143" s="54"/>
      <c r="I143" s="21"/>
      <c r="J143" s="22"/>
      <c r="L143" s="56"/>
      <c r="M143" s="56"/>
      <c r="N143" s="56"/>
      <c r="O143" s="56"/>
      <c r="P143" s="56"/>
      <c r="Q143" s="57"/>
      <c r="R143" s="56"/>
      <c r="S143" s="58"/>
      <c r="T143" s="59"/>
      <c r="U143" s="16"/>
      <c r="W143" s="6"/>
    </row>
    <row r="144" spans="1:23" ht="17.25" customHeight="1" x14ac:dyDescent="0.4">
      <c r="A144" s="54" t="s">
        <v>45</v>
      </c>
      <c r="C144" s="55"/>
      <c r="D144" s="54"/>
      <c r="E144" s="54"/>
      <c r="F144" s="75"/>
      <c r="G144" s="54"/>
      <c r="H144" s="54"/>
      <c r="I144" s="21"/>
      <c r="J144" s="22"/>
      <c r="K144" s="22"/>
      <c r="L144" s="75"/>
      <c r="M144" s="75"/>
      <c r="N144" s="75"/>
      <c r="O144" s="75"/>
      <c r="P144" s="75"/>
      <c r="Q144" s="76"/>
      <c r="R144" s="75"/>
      <c r="S144" s="58"/>
      <c r="T144" s="59"/>
      <c r="U144" s="16"/>
    </row>
    <row r="145" spans="1:23" ht="17.25" customHeight="1" x14ac:dyDescent="0.4">
      <c r="A145" s="54" t="s">
        <v>46</v>
      </c>
      <c r="C145" s="55"/>
      <c r="D145" s="54"/>
      <c r="E145" s="54"/>
      <c r="F145" s="75"/>
      <c r="G145" s="54"/>
      <c r="H145" s="54"/>
      <c r="I145" s="21"/>
      <c r="J145" s="22"/>
      <c r="K145" s="22"/>
      <c r="L145" s="75"/>
      <c r="M145" s="75"/>
      <c r="N145" s="75"/>
      <c r="O145" s="75"/>
      <c r="P145" s="75"/>
      <c r="Q145" s="76"/>
      <c r="R145" s="75"/>
      <c r="S145" s="58"/>
      <c r="T145" s="59"/>
      <c r="U145" s="16"/>
    </row>
    <row r="146" spans="1:23" ht="17.25" customHeight="1" x14ac:dyDescent="0.4">
      <c r="A146" s="77" t="s">
        <v>47</v>
      </c>
      <c r="C146" s="55"/>
      <c r="D146" s="54"/>
      <c r="E146" s="54"/>
      <c r="F146" s="75"/>
      <c r="G146" s="54"/>
      <c r="H146" s="54"/>
      <c r="I146" s="21"/>
      <c r="J146" s="22"/>
      <c r="K146" s="22"/>
      <c r="L146" s="75"/>
      <c r="M146" s="75"/>
      <c r="N146" s="75"/>
      <c r="O146" s="75"/>
      <c r="P146" s="75"/>
      <c r="Q146" s="76"/>
      <c r="R146" s="75"/>
      <c r="S146" s="58"/>
      <c r="T146" s="59"/>
      <c r="U146" s="16"/>
      <c r="W146" s="6"/>
    </row>
    <row r="147" spans="1:23" ht="17.25" customHeight="1" x14ac:dyDescent="0.4">
      <c r="A147" s="54" t="s">
        <v>48</v>
      </c>
      <c r="C147" s="55"/>
      <c r="D147" s="54"/>
      <c r="E147" s="54"/>
      <c r="F147" s="54"/>
      <c r="G147" s="54"/>
      <c r="H147" s="54"/>
      <c r="I147" s="21"/>
      <c r="J147" s="55"/>
      <c r="K147" s="55"/>
      <c r="L147" s="54"/>
      <c r="M147" s="54"/>
      <c r="N147" s="54"/>
      <c r="O147" s="54"/>
      <c r="P147" s="54"/>
      <c r="Q147" s="78"/>
      <c r="R147" s="54"/>
      <c r="S147" s="55"/>
      <c r="T147" s="12"/>
      <c r="U147" s="79"/>
      <c r="W147" s="6"/>
    </row>
    <row r="148" spans="1:23" ht="17.25" customHeight="1" x14ac:dyDescent="0.4">
      <c r="A148" s="80" t="s">
        <v>49</v>
      </c>
      <c r="B148" s="80"/>
      <c r="C148" s="80"/>
      <c r="D148" s="80"/>
      <c r="E148" s="80"/>
      <c r="F148" s="80"/>
      <c r="G148" s="80"/>
      <c r="H148" s="80"/>
      <c r="I148" s="81"/>
      <c r="J148" s="80"/>
      <c r="K148" s="80"/>
      <c r="L148" s="80"/>
      <c r="M148" s="80"/>
      <c r="N148" s="80"/>
      <c r="O148" s="80"/>
      <c r="P148" s="80"/>
      <c r="Q148" s="82"/>
      <c r="R148" s="80"/>
      <c r="S148" s="80"/>
      <c r="T148" s="83"/>
      <c r="U148" s="84"/>
      <c r="W148" s="6"/>
    </row>
    <row r="149" spans="1:23" ht="17.25" customHeight="1" x14ac:dyDescent="0.4">
      <c r="A149" s="80" t="s">
        <v>3</v>
      </c>
      <c r="B149" s="80"/>
      <c r="C149" s="80"/>
      <c r="D149" s="80"/>
      <c r="E149" s="80"/>
      <c r="F149" s="80"/>
      <c r="G149" s="80"/>
      <c r="H149" s="80"/>
      <c r="I149" s="81"/>
      <c r="J149" s="80"/>
      <c r="K149" s="80"/>
      <c r="L149" s="80"/>
      <c r="M149" s="80"/>
      <c r="N149" s="80"/>
      <c r="O149" s="80"/>
      <c r="P149" s="80"/>
      <c r="Q149" s="82"/>
      <c r="R149" s="80"/>
      <c r="S149" s="80"/>
      <c r="T149" s="83"/>
      <c r="U149" s="84"/>
      <c r="W149" s="6"/>
    </row>
    <row r="150" spans="1:23" ht="17.25" customHeight="1" x14ac:dyDescent="0.4">
      <c r="A150" s="54" t="s">
        <v>50</v>
      </c>
      <c r="C150" s="55"/>
      <c r="D150" s="54"/>
      <c r="E150" s="54"/>
      <c r="F150" s="75"/>
      <c r="G150" s="54"/>
      <c r="H150" s="54"/>
      <c r="I150" s="21"/>
      <c r="J150" s="22"/>
      <c r="K150" s="22"/>
      <c r="L150" s="75"/>
      <c r="M150" s="75"/>
      <c r="N150" s="75"/>
      <c r="O150" s="75"/>
      <c r="P150" s="75"/>
      <c r="Q150" s="76"/>
      <c r="R150" s="75"/>
      <c r="S150" s="58"/>
      <c r="T150" s="59"/>
      <c r="U150" s="16"/>
      <c r="W150" s="6"/>
    </row>
    <row r="151" spans="1:23" ht="17.25" customHeight="1" x14ac:dyDescent="0.4">
      <c r="A151" s="8" t="s">
        <v>51</v>
      </c>
      <c r="C151" s="55"/>
      <c r="D151" s="54"/>
      <c r="E151" s="54"/>
      <c r="F151" s="75"/>
      <c r="G151" s="54"/>
      <c r="H151" s="54"/>
      <c r="I151" s="21"/>
      <c r="J151" s="22"/>
      <c r="K151" s="22"/>
      <c r="L151" s="75"/>
      <c r="M151" s="75"/>
      <c r="N151" s="75"/>
      <c r="O151" s="75"/>
      <c r="P151" s="75"/>
      <c r="Q151" s="76"/>
      <c r="R151" s="75"/>
      <c r="S151" s="58"/>
      <c r="T151" s="59"/>
      <c r="U151" s="16"/>
      <c r="W151" s="6"/>
    </row>
    <row r="152" spans="1:23" s="91" customFormat="1" ht="17.25" customHeight="1" x14ac:dyDescent="0.4">
      <c r="A152" s="85" t="s">
        <v>52</v>
      </c>
      <c r="B152" s="86"/>
      <c r="C152" s="86"/>
      <c r="D152" s="86"/>
      <c r="E152" s="86"/>
      <c r="F152" s="86"/>
      <c r="G152" s="86"/>
      <c r="H152" s="86"/>
      <c r="I152" s="87"/>
      <c r="J152" s="86"/>
      <c r="K152" s="86"/>
      <c r="L152" s="86"/>
      <c r="M152" s="86"/>
      <c r="N152" s="86"/>
      <c r="O152" s="86"/>
      <c r="P152" s="86"/>
      <c r="Q152" s="88"/>
      <c r="R152" s="86"/>
      <c r="S152" s="86"/>
      <c r="T152" s="89"/>
      <c r="U152" s="90"/>
      <c r="W152" s="92"/>
    </row>
    <row r="153" spans="1:23" ht="17.25" customHeight="1" x14ac:dyDescent="0.4">
      <c r="A153" s="8" t="s">
        <v>53</v>
      </c>
      <c r="C153" s="55"/>
      <c r="D153" s="54"/>
      <c r="E153" s="54"/>
      <c r="F153" s="75"/>
      <c r="G153" s="54"/>
      <c r="H153" s="54"/>
      <c r="I153" s="21"/>
      <c r="J153" s="22"/>
      <c r="K153" s="22"/>
      <c r="L153" s="75"/>
      <c r="M153" s="75"/>
      <c r="N153" s="75"/>
      <c r="O153" s="75"/>
      <c r="P153" s="75"/>
      <c r="Q153" s="76"/>
      <c r="R153" s="75"/>
      <c r="S153" s="58"/>
      <c r="T153" s="59"/>
      <c r="U153" s="16"/>
      <c r="W153" s="6"/>
    </row>
    <row r="154" spans="1:23" ht="17.25" customHeight="1" x14ac:dyDescent="0.4">
      <c r="A154" s="8" t="s">
        <v>54</v>
      </c>
      <c r="C154" s="55"/>
      <c r="D154" s="54"/>
      <c r="E154" s="54"/>
      <c r="F154" s="75"/>
      <c r="G154" s="54"/>
      <c r="H154" s="54"/>
      <c r="I154" s="21"/>
      <c r="J154" s="22"/>
      <c r="K154" s="22"/>
      <c r="L154" s="75"/>
      <c r="M154" s="75"/>
      <c r="N154" s="75"/>
      <c r="O154" s="75"/>
      <c r="P154" s="75"/>
      <c r="Q154" s="76"/>
      <c r="R154" s="75"/>
      <c r="S154" s="58"/>
      <c r="T154" s="59"/>
      <c r="U154" s="16"/>
      <c r="W154" s="6"/>
    </row>
    <row r="155" spans="1:23" ht="17.25" customHeight="1" x14ac:dyDescent="0.4">
      <c r="A155" s="8" t="s">
        <v>55</v>
      </c>
      <c r="C155" s="55"/>
      <c r="D155" s="54"/>
      <c r="E155" s="54"/>
      <c r="F155" s="75"/>
      <c r="G155" s="54"/>
      <c r="H155" s="54"/>
      <c r="I155" s="21"/>
      <c r="J155" s="22"/>
      <c r="K155" s="22"/>
      <c r="L155" s="75"/>
      <c r="M155" s="75"/>
      <c r="N155" s="75"/>
      <c r="O155" s="75"/>
      <c r="P155" s="75"/>
      <c r="Q155" s="76"/>
      <c r="R155" s="75"/>
      <c r="S155" s="58"/>
      <c r="T155" s="59"/>
      <c r="U155" s="16"/>
      <c r="W155" s="6"/>
    </row>
    <row r="156" spans="1:23" s="91" customFormat="1" ht="17.25" customHeight="1" x14ac:dyDescent="0.4">
      <c r="A156" s="77" t="s">
        <v>56</v>
      </c>
      <c r="I156" s="93"/>
      <c r="Q156" s="94"/>
      <c r="T156" s="89"/>
      <c r="U156" s="90"/>
      <c r="W156" s="92"/>
    </row>
    <row r="157" spans="1:23" s="91" customFormat="1" ht="17.25" customHeight="1" x14ac:dyDescent="0.4">
      <c r="A157" s="77" t="s">
        <v>57</v>
      </c>
      <c r="I157" s="93"/>
      <c r="Q157" s="94"/>
      <c r="T157" s="89"/>
      <c r="U157" s="90"/>
      <c r="W157" s="92"/>
    </row>
    <row r="158" spans="1:23" ht="17.25" customHeight="1" x14ac:dyDescent="0.4">
      <c r="B158" s="8"/>
      <c r="C158" s="8"/>
      <c r="F158" s="8"/>
      <c r="J158" s="8"/>
      <c r="K158" s="8"/>
      <c r="L158" s="8"/>
      <c r="M158" s="8"/>
      <c r="N158" s="8"/>
      <c r="O158" s="8"/>
      <c r="P158" s="8"/>
      <c r="Q158" s="60"/>
      <c r="R158" s="8"/>
      <c r="S158" s="8"/>
      <c r="T158" s="13"/>
      <c r="U158" s="96"/>
      <c r="W158" s="8"/>
    </row>
  </sheetData>
  <autoFilter ref="A7:W138"/>
  <mergeCells count="9">
    <mergeCell ref="D141:E141"/>
    <mergeCell ref="G141:H141"/>
    <mergeCell ref="I141:J141"/>
    <mergeCell ref="A2:S2"/>
    <mergeCell ref="A3:S3"/>
    <mergeCell ref="A4:S4"/>
    <mergeCell ref="D140:E140"/>
    <mergeCell ref="G140:H140"/>
    <mergeCell ref="I140:J140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2025-08-15T05:54:02Z</dcterms:created>
  <dcterms:modified xsi:type="dcterms:W3CDTF">2025-08-15T07:00:43Z</dcterms:modified>
</cp:coreProperties>
</file>