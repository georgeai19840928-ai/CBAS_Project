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835\AppData\Local\Microsoft\Windows\INetCache\Content.Outlook\1S5Z40C4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金融交易部資產交換選擇權報價表!$A$7:$W$139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9" i="1" l="1"/>
  <c r="D142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C142" i="1" l="1"/>
  <c r="F142" i="1"/>
  <c r="G142" i="1" l="1"/>
  <c r="I142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V2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5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68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99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9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0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G142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<sst xmlns="http://schemas.openxmlformats.org/spreadsheetml/2006/main" count="583" uniqueCount="226">
  <si>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</si>
  <si>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</si>
  <si>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</si>
  <si>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</si>
  <si>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</si>
  <si>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</si>
  <si>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</si>
  <si>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</si>
  <si>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</si>
  <si>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</si>
  <si>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</si>
  <si>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</si>
  <si>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</si>
  <si>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</si>
  <si>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</si>
  <si>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</si>
  <si>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</si>
  <si>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</si>
  <si>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</si>
  <si>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</si>
  <si>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</si>
  <si>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</si>
  <si>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</si>
  <si>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</si>
  <si>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</si>
  <si>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</si>
  <si>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</si>
  <si>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</si>
  <si>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</si>
  <si>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美律五</t>
    <phoneticPr fontId="9" type="noConversion"/>
  </si>
  <si>
    <t>新日興三</t>
    <phoneticPr fontId="9" type="noConversion"/>
  </si>
  <si>
    <t>NEXT PUT</t>
    <phoneticPr fontId="9" type="noConversion"/>
  </si>
  <si>
    <t>新掛牌</t>
    <phoneticPr fontId="9" type="noConversion"/>
  </si>
  <si>
    <t>1/5(一)</t>
    <phoneticPr fontId="9" type="noConversion"/>
  </si>
  <si>
    <t>辛耘二</t>
    <phoneticPr fontId="9" type="noConversion"/>
  </si>
  <si>
    <t>台特化一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</si>
  <si>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</si>
  <si>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</si>
  <si>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</si>
  <si>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</si>
  <si>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</si>
  <si>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</si>
  <si>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</si>
  <si>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</si>
  <si>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</si>
  <si>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</si>
  <si>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</si>
  <si>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</si>
  <si>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</si>
  <si>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</si>
  <si>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</si>
  <si>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</si>
  <si>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</si>
  <si>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</si>
  <si>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</si>
  <si>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</si>
  <si>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</si>
  <si>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</si>
  <si>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</si>
  <si>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</si>
  <si>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</si>
  <si>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</si>
  <si>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</si>
  <si>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</si>
  <si>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上曜六</t>
  </si>
  <si>
    <t>有，板信商業銀行股份有限公司</t>
  </si>
  <si>
    <t>8</t>
  </si>
  <si>
    <t>聚隆四</t>
  </si>
  <si>
    <t>有，台中商業銀行股份有限公司</t>
  </si>
  <si>
    <t>7</t>
  </si>
  <si>
    <t>三洋實業二</t>
  </si>
  <si>
    <t>6</t>
  </si>
  <si>
    <t>亞力二</t>
  </si>
  <si>
    <t>中砂一</t>
  </si>
  <si>
    <t>和勤四</t>
  </si>
  <si>
    <t>有，合作金庫商業銀行股份有限公司</t>
  </si>
  <si>
    <t>合世三</t>
  </si>
  <si>
    <t>有，華南商業銀行股份有限公司</t>
  </si>
  <si>
    <t>科妍三</t>
  </si>
  <si>
    <t>劍麟三</t>
  </si>
  <si>
    <t>5</t>
  </si>
  <si>
    <t>汎德永業一</t>
  </si>
  <si>
    <t>汎德永業二</t>
  </si>
  <si>
    <t>順德一</t>
  </si>
  <si>
    <t>金像電三</t>
  </si>
  <si>
    <t>3</t>
  </si>
  <si>
    <t>毅嘉三</t>
  </si>
  <si>
    <t>美律四</t>
  </si>
  <si>
    <t>光群雷六</t>
  </si>
  <si>
    <t>鉅祥二</t>
  </si>
  <si>
    <t>一詮六</t>
  </si>
  <si>
    <t>皇普三</t>
  </si>
  <si>
    <t>有，元大商業銀行股份有限公司</t>
  </si>
  <si>
    <t>華固三</t>
  </si>
  <si>
    <t>華航七</t>
  </si>
  <si>
    <t>王品一</t>
  </si>
  <si>
    <t>山富一</t>
  </si>
  <si>
    <t>八方雲集一</t>
  </si>
  <si>
    <t>八方雲集二</t>
  </si>
  <si>
    <t>晶豪科一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</si>
  <si>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</si>
  <si>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</si>
  <si>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</si>
  <si>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</si>
  <si>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</si>
  <si>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</si>
  <si>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及成四</t>
  </si>
  <si>
    <t>有，陽信商業銀行股份有限公司</t>
  </si>
  <si>
    <t>9</t>
  </si>
  <si>
    <t>弘塑一</t>
  </si>
  <si>
    <t>弘塑二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</si>
  <si>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</si>
  <si>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</si>
  <si>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</si>
  <si>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</si>
  <si>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</si>
  <si>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</si>
  <si>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</si>
  <si>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</si>
  <si>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</si>
  <si>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力致四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</si>
  <si>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</si>
  <si>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</si>
  <si>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</si>
  <si>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</si>
  <si>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</si>
  <si>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</si>
  <si>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</si>
  <si>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</si>
  <si>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州巧一</t>
  </si>
  <si>
    <t>有，中國信託商業銀行</t>
  </si>
  <si>
    <t>兆利二</t>
  </si>
  <si>
    <t>兆利三</t>
  </si>
  <si>
    <t>世禾三</t>
  </si>
  <si>
    <t>辛耘一</t>
  </si>
  <si>
    <t>閎康一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</si>
  <si>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</si>
  <si>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</si>
  <si>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</si>
  <si>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</si>
  <si>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</si>
  <si>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</si>
  <si>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</si>
  <si>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</si>
  <si>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</si>
  <si>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</si>
  <si>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</si>
  <si>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</si>
  <si>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</si>
  <si>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</si>
  <si>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</si>
  <si>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三圓三</t>
  </si>
  <si>
    <t>廣越三</t>
  </si>
  <si>
    <t>氣立四</t>
  </si>
  <si>
    <t>有，彰化商業銀行</t>
  </si>
  <si>
    <t>寶緯一</t>
  </si>
  <si>
    <t>駐龍一</t>
  </si>
  <si>
    <t>國精化三</t>
  </si>
  <si>
    <t>康普三</t>
  </si>
  <si>
    <t>有，彰化商業銀行股份有限公司</t>
  </si>
  <si>
    <t>康普四</t>
  </si>
  <si>
    <t>正文六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</si>
  <si>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</si>
  <si>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</si>
  <si>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</si>
  <si>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</si>
  <si>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</si>
  <si>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</si>
  <si>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</si>
  <si>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</si>
  <si>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</si>
  <si>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</si>
  <si>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</si>
  <si>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</si>
  <si>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</si>
  <si>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</si>
  <si>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</si>
  <si>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</si>
  <si>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</si>
  <si>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達麗七</t>
  </si>
  <si>
    <t>大豐電三</t>
  </si>
  <si>
    <t>豐藝四</t>
  </si>
  <si>
    <t>萬泰科七</t>
  </si>
  <si>
    <t>佳必琪三</t>
  </si>
  <si>
    <t>今國光三</t>
  </si>
  <si>
    <t>富旺四</t>
  </si>
  <si>
    <t>台燿五</t>
  </si>
  <si>
    <t>康舒二</t>
  </si>
  <si>
    <t>佳邦三</t>
  </si>
  <si>
    <t>良維十</t>
  </si>
  <si>
    <t>樺漢五</t>
  </si>
  <si>
    <t>易發一</t>
  </si>
  <si>
    <t>有，上海商業儲蓄銀行股份有限公司</t>
  </si>
  <si>
    <t>光聖二</t>
  </si>
  <si>
    <t>光聖三</t>
  </si>
  <si>
    <t>易華電一</t>
  </si>
  <si>
    <t>鼎基一</t>
  </si>
  <si>
    <t>萬年清一</t>
  </si>
  <si>
    <t>群翊二</t>
  </si>
  <si>
    <t>復盛應用二</t>
  </si>
  <si>
    <t>嘉基二</t>
  </si>
  <si>
    <t>龍德造船一</t>
  </si>
  <si>
    <t>志強一KY</t>
  </si>
  <si>
    <t>平和環保一創</t>
  </si>
  <si>
    <t>錼創科技一KY創</t>
  </si>
  <si>
    <t>威力德生醫一</t>
  </si>
  <si>
    <t>廣積六</t>
  </si>
  <si>
    <t>博智一</t>
  </si>
  <si>
    <t>天宇四</t>
  </si>
  <si>
    <t>有，板信商業銀行、台中商業銀行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</si>
  <si>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</si>
  <si>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</si>
  <si>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</si>
  <si>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</si>
  <si>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</si>
  <si>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</si>
  <si>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</si>
  <si>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</si>
  <si>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有，台北富邦商業銀行股份有限公司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</si>
  <si>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</si>
  <si>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</si>
  <si>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</si>
  <si>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</si>
  <si>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</si>
  <si>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</si>
  <si>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鈺齊六KY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</si>
</sst>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29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sz val="12"/>
      <color indexed="8"/>
      <name val="Calibri"/>
      <family val="2"/>
    </font>
    <font>
      <sz val="12"/>
      <color indexed="6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3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8" fontId="10" fillId="0" borderId="0" xfId="2" applyNumberFormat="1" applyFont="1" applyFill="1" applyBorder="1" applyAlignment="1" applyProtection="1">
      <alignment horizontal="left" vertical="center"/>
      <protection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8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7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182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182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4" fillId="0" borderId="0" xfId="3" applyNumberFormat="1" applyFont="1" applyFill="1" applyBorder="1" applyAlignment="1">
      <alignment horizontal="right" vertical="center"/>
    </xf>
    <xf numFmtId="177" fontId="14" fillId="0" borderId="0" xfId="1" applyNumberFormat="1" applyFont="1" applyFill="1" applyBorder="1" applyAlignment="1">
      <alignment horizontal="right" vertical="center"/>
    </xf>
    <xf numFmtId="178" fontId="5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3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16" fillId="0" borderId="0" xfId="3" applyNumberFormat="1" applyFont="1" applyFill="1" applyBorder="1" applyAlignment="1">
      <alignment horizontal="left" vertical="center"/>
    </xf>
    <xf numFmtId="178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7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8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0" fontId="18" fillId="0" borderId="0" xfId="3" applyFont="1" applyAlignment="1">
      <alignment vertical="center"/>
    </xf>
    <xf numFmtId="178" fontId="18" fillId="0" borderId="0" xfId="3" applyNumberFormat="1" applyFont="1" applyAlignment="1">
      <alignment vertical="center"/>
    </xf>
    <xf numFmtId="177" fontId="18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8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5" fillId="8" borderId="1" xfId="3" applyFont="1" applyFill="1" applyBorder="1" applyAlignment="1">
      <alignment horizontal="left" vertical="center" wrapText="1"/>
    </xf>
    <xf numFmtId="0" fontId="24" fillId="0" borderId="1" xfId="3" applyFont="1" applyFill="1" applyBorder="1" applyAlignment="1">
      <alignment horizontal="left" vertical="center"/>
    </xf>
    <xf numFmtId="0" fontId="24" fillId="8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4" fillId="0" borderId="1" xfId="3" applyFont="1" applyFill="1" applyBorder="1" applyAlignment="1">
      <alignment horizontal="center" vertical="center" wrapText="1"/>
    </xf>
    <xf numFmtId="10" fontId="25" fillId="4" borderId="1" xfId="2" applyNumberFormat="1" applyFont="1" applyFill="1" applyBorder="1" applyAlignment="1" applyProtection="1">
      <alignment horizontal="center" vertical="center"/>
      <protection hidden="1"/>
    </xf>
    <xf numFmtId="10" fontId="26" fillId="4" borderId="1" xfId="3" applyNumberFormat="1" applyFont="1" applyFill="1" applyBorder="1" applyAlignment="1">
      <alignment horizontal="right" vertical="center"/>
    </xf>
    <xf numFmtId="179" fontId="27" fillId="0" borderId="1" xfId="3" applyNumberFormat="1" applyFont="1" applyFill="1" applyBorder="1" applyAlignment="1">
      <alignment horizontal="center" vertical="center" wrapText="1"/>
    </xf>
    <xf numFmtId="178" fontId="27" fillId="0" borderId="1" xfId="2" applyNumberFormat="1" applyFont="1" applyFill="1" applyBorder="1" applyAlignment="1" applyProtection="1">
      <alignment horizontal="center" vertical="center"/>
      <protection hidden="1"/>
    </xf>
    <xf numFmtId="180" fontId="27" fillId="0" borderId="1" xfId="3" applyNumberFormat="1" applyFont="1" applyFill="1" applyBorder="1" applyAlignment="1">
      <alignment horizontal="left" vertical="center" wrapText="1"/>
    </xf>
    <xf numFmtId="181" fontId="27" fillId="0" borderId="1" xfId="3" applyNumberFormat="1" applyFont="1" applyFill="1" applyBorder="1" applyAlignment="1">
      <alignment horizontal="center" vertical="center" wrapText="1"/>
    </xf>
    <xf numFmtId="10" fontId="24" fillId="0" borderId="1" xfId="3" applyNumberFormat="1" applyFont="1" applyFill="1" applyBorder="1" applyAlignment="1">
      <alignment horizontal="right" vertical="center"/>
    </xf>
    <xf numFmtId="181" fontId="24" fillId="0" borderId="1" xfId="3" applyNumberFormat="1" applyFont="1" applyFill="1" applyBorder="1" applyAlignment="1">
      <alignment horizontal="right" vertical="center"/>
    </xf>
    <xf numFmtId="9" fontId="24" fillId="0" borderId="1" xfId="3" applyNumberFormat="1" applyFont="1" applyFill="1" applyBorder="1" applyAlignment="1">
      <alignment horizontal="right" vertical="center"/>
    </xf>
    <xf numFmtId="182" fontId="25" fillId="4" borderId="1" xfId="3" applyNumberFormat="1" applyFont="1" applyFill="1" applyBorder="1" applyAlignment="1">
      <alignment horizontal="right" vertical="center" wrapText="1"/>
    </xf>
    <xf numFmtId="9" fontId="27" fillId="0" borderId="1" xfId="3" applyNumberFormat="1" applyFont="1" applyFill="1" applyBorder="1" applyAlignment="1">
      <alignment horizontal="right" vertical="center" wrapText="1"/>
    </xf>
    <xf numFmtId="177" fontId="27" fillId="0" borderId="1" xfId="1" applyNumberFormat="1" applyFont="1" applyFill="1" applyBorder="1" applyAlignment="1">
      <alignment horizontal="right" vertical="center" wrapText="1"/>
    </xf>
    <xf numFmtId="179" fontId="27" fillId="8" borderId="1" xfId="3" applyNumberFormat="1" applyFont="1" applyFill="1" applyBorder="1" applyAlignment="1">
      <alignment horizontal="center" vertical="center" wrapText="1"/>
    </xf>
    <xf numFmtId="0" fontId="24" fillId="2" borderId="1" xfId="3" applyFont="1" applyFill="1" applyBorder="1" applyAlignment="1">
      <alignment horizontal="center" vertical="center" wrapText="1"/>
    </xf>
    <xf numFmtId="10" fontId="25" fillId="2" borderId="1" xfId="2" applyNumberFormat="1" applyFont="1" applyFill="1" applyBorder="1" applyAlignment="1" applyProtection="1">
      <alignment horizontal="center" vertical="center"/>
      <protection hidden="1"/>
    </xf>
    <xf numFmtId="10" fontId="26" fillId="2" borderId="1" xfId="3" applyNumberFormat="1" applyFont="1" applyFill="1" applyBorder="1" applyAlignment="1">
      <alignment horizontal="right" vertical="center"/>
    </xf>
    <xf numFmtId="179" fontId="27" fillId="2" borderId="1" xfId="3" applyNumberFormat="1" applyFont="1" applyFill="1" applyBorder="1" applyAlignment="1">
      <alignment horizontal="center" vertical="center" wrapText="1"/>
    </xf>
    <xf numFmtId="178" fontId="27" fillId="2" borderId="1" xfId="2" applyNumberFormat="1" applyFont="1" applyFill="1" applyBorder="1" applyAlignment="1" applyProtection="1">
      <alignment horizontal="center" vertical="center"/>
      <protection hidden="1"/>
    </xf>
    <xf numFmtId="180" fontId="27" fillId="2" borderId="1" xfId="3" applyNumberFormat="1" applyFont="1" applyFill="1" applyBorder="1" applyAlignment="1">
      <alignment horizontal="left" vertical="center" wrapText="1"/>
    </xf>
    <xf numFmtId="181" fontId="27" fillId="2" borderId="1" xfId="3" applyNumberFormat="1" applyFont="1" applyFill="1" applyBorder="1" applyAlignment="1">
      <alignment horizontal="center" vertical="center" wrapText="1"/>
    </xf>
    <xf numFmtId="10" fontId="24" fillId="2" borderId="1" xfId="3" applyNumberFormat="1" applyFont="1" applyFill="1" applyBorder="1" applyAlignment="1">
      <alignment horizontal="right" vertical="center"/>
    </xf>
    <xf numFmtId="181" fontId="24" fillId="2" borderId="1" xfId="3" applyNumberFormat="1" applyFont="1" applyFill="1" applyBorder="1" applyAlignment="1">
      <alignment horizontal="right" vertical="center"/>
    </xf>
    <xf numFmtId="9" fontId="24" fillId="2" borderId="1" xfId="3" applyNumberFormat="1" applyFont="1" applyFill="1" applyBorder="1" applyAlignment="1">
      <alignment horizontal="right" vertical="center"/>
    </xf>
    <xf numFmtId="182" fontId="25" fillId="2" borderId="1" xfId="3" applyNumberFormat="1" applyFont="1" applyFill="1" applyBorder="1" applyAlignment="1">
      <alignment horizontal="right" vertical="center" wrapText="1"/>
    </xf>
    <xf numFmtId="9" fontId="27" fillId="2" borderId="1" xfId="3" applyNumberFormat="1" applyFont="1" applyFill="1" applyBorder="1" applyAlignment="1">
      <alignment horizontal="right" vertical="center" wrapText="1"/>
    </xf>
    <xf numFmtId="177" fontId="27" fillId="2" borderId="1" xfId="1" applyNumberFormat="1" applyFont="1" applyFill="1" applyBorder="1" applyAlignment="1">
      <alignment horizontal="right" vertical="center" wrapText="1"/>
    </xf>
    <xf numFmtId="14" fontId="28" fillId="0" borderId="0" xfId="2" applyNumberFormat="1" applyFont="1" applyFill="1" applyBorder="1" applyAlignment="1" applyProtection="1">
      <alignment horizontal="left" vertical="center"/>
      <protection locked="0" hidden="1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2" fontId="2" fillId="7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5" fillId="6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150</xdr:row>
      <xdr:rowOff>0</xdr:rowOff>
    </xdr:from>
    <xdr:to>
      <xdr:col>4</xdr:col>
      <xdr:colOff>0</xdr:colOff>
      <xdr:row>150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5651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6515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150</xdr:row>
      <xdr:rowOff>0</xdr:rowOff>
    </xdr:from>
    <xdr:to>
      <xdr:col>4</xdr:col>
      <xdr:colOff>0</xdr:colOff>
      <xdr:row>150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5651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6515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5435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153</xdr:row>
      <xdr:rowOff>0</xdr:rowOff>
    </xdr:from>
    <xdr:to>
      <xdr:col>4</xdr:col>
      <xdr:colOff>0</xdr:colOff>
      <xdr:row>153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629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150</xdr:row>
      <xdr:rowOff>0</xdr:rowOff>
    </xdr:from>
    <xdr:to>
      <xdr:col>4</xdr:col>
      <xdr:colOff>0</xdr:colOff>
      <xdr:row>150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651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515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150</xdr:row>
      <xdr:rowOff>0</xdr:rowOff>
    </xdr:from>
    <xdr:to>
      <xdr:col>4</xdr:col>
      <xdr:colOff>0</xdr:colOff>
      <xdr:row>150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651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515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435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59"/>
  <sheetViews>
    <sheetView tabSelected="1" zoomScale="65" zoomScaleNormal="65" workbookViewId="0">
      <pane xSplit="4" ySplit="7" topLeftCell="I8" activePane="bottomRight" state="frozen"/>
      <selection activeCell="F233" sqref="F233"/>
      <selection pane="topRight" activeCell="F233" sqref="F233"/>
      <selection pane="bottomLeft" activeCell="F233" sqref="F233"/>
      <selection pane="bottomRight" activeCell="R23" sqref="R23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2.453125" style="6" customWidth="1"/>
    <col min="6" max="6" width="12.453125" style="5" customWidth="1"/>
    <col min="7" max="7" width="14.453125" style="6" customWidth="1"/>
    <col min="8" max="8" width="13.08984375" style="6" customWidth="1"/>
    <col min="9" max="9" width="12.453125" style="83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0" customWidth="1"/>
    <col min="18" max="18" width="16.08984375" style="5" customWidth="1"/>
    <col min="19" max="19" width="13.453125" style="3" customWidth="1"/>
    <col min="20" max="20" width="12.08984375" style="15" bestFit="1" customWidth="1"/>
    <col min="21" max="21" width="18.90625" style="85" bestFit="1" customWidth="1"/>
    <col min="22" max="22" width="8.90625" style="6" hidden="1" customWidth="1"/>
    <col min="23" max="23" width="9.6328125" style="9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7"/>
      <c r="U2" s="8"/>
    </row>
    <row r="3" spans="1:23" ht="17.25" customHeight="1" x14ac:dyDescent="0.4">
      <c r="A3" s="121" t="s">
        <v>1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7"/>
      <c r="U3" s="8"/>
    </row>
    <row r="4" spans="1:23" ht="17.25" customHeight="1" x14ac:dyDescent="0.4">
      <c r="A4" s="121" t="s">
        <v>2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7"/>
      <c r="U4" s="8"/>
    </row>
    <row r="5" spans="1:23" s="11" customFormat="1" ht="17.25" customHeight="1" x14ac:dyDescent="0.4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</row>
    <row r="6" spans="1:23" ht="17.25" customHeight="1" x14ac:dyDescent="0.4">
      <c r="A6" s="16"/>
      <c r="B6" s="16" t="s">
        <v>4</v>
      </c>
      <c r="C6" s="117">
        <v>46027</v>
      </c>
      <c r="H6" s="17"/>
      <c r="I6" s="18"/>
      <c r="J6" s="19"/>
      <c r="K6" s="19"/>
      <c r="S6" s="21"/>
      <c r="T6" s="22" t="s">
        <v>3</v>
      </c>
      <c r="U6" s="22"/>
    </row>
    <row r="7" spans="1:23" s="32" customFormat="1" ht="18" customHeight="1" x14ac:dyDescent="0.4">
      <c r="A7" s="23" t="s">
        <v>5</v>
      </c>
      <c r="B7" s="23" t="s">
        <v>6</v>
      </c>
      <c r="C7" s="23" t="s">
        <v>7</v>
      </c>
      <c r="D7" s="23" t="s">
        <v>8</v>
      </c>
      <c r="E7" s="24" t="s">
        <v>9</v>
      </c>
      <c r="F7" s="25" t="s">
        <v>10</v>
      </c>
      <c r="G7" s="24" t="s">
        <v>11</v>
      </c>
      <c r="H7" s="23" t="s">
        <v>12</v>
      </c>
      <c r="I7" s="26" t="s">
        <v>13</v>
      </c>
      <c r="J7" s="27" t="s">
        <v>14</v>
      </c>
      <c r="K7" s="25" t="s">
        <v>15</v>
      </c>
      <c r="L7" s="25" t="s">
        <v>16</v>
      </c>
      <c r="M7" s="25" t="s">
        <v>17</v>
      </c>
      <c r="N7" s="25" t="s">
        <v>18</v>
      </c>
      <c r="O7" s="25" t="s">
        <v>19</v>
      </c>
      <c r="P7" s="25" t="s">
        <v>20</v>
      </c>
      <c r="Q7" s="28" t="s">
        <v>21</v>
      </c>
      <c r="R7" s="25" t="s">
        <v>22</v>
      </c>
      <c r="S7" s="25" t="s">
        <v>23</v>
      </c>
      <c r="T7" s="29" t="s">
        <v>24</v>
      </c>
      <c r="U7" s="30" t="s">
        <v>25</v>
      </c>
      <c r="V7" s="6"/>
      <c r="W7" s="2" t="s">
        <v>26</v>
      </c>
    </row>
    <row r="8" spans="1:23" s="5" customFormat="1" ht="17.25" customHeight="1" x14ac:dyDescent="0.4">
      <c r="A8" s="33" t="s">
        <v>61</v>
      </c>
      <c r="B8" s="87">
        <v>11011</v>
      </c>
      <c r="C8" s="34" t="s">
        <v>62</v>
      </c>
      <c r="D8" s="90" t="s">
        <v>63</v>
      </c>
      <c r="E8" s="91">
        <v>6.5700000000000008E-2</v>
      </c>
      <c r="F8" s="92">
        <v>3.2500000000000001E-2</v>
      </c>
      <c r="G8" s="93">
        <v>46717</v>
      </c>
      <c r="H8" s="93">
        <v>46731</v>
      </c>
      <c r="I8" s="94">
        <v>1.9287671232876713</v>
      </c>
      <c r="J8" s="95">
        <v>100</v>
      </c>
      <c r="K8" s="96">
        <v>35.200000000000003</v>
      </c>
      <c r="L8" s="97">
        <v>0.65340909090909083</v>
      </c>
      <c r="M8" s="98">
        <v>97</v>
      </c>
      <c r="N8" s="99">
        <v>0.48452173913043506</v>
      </c>
      <c r="O8" s="100">
        <v>3570.0000000000009</v>
      </c>
      <c r="P8" s="101">
        <v>1</v>
      </c>
      <c r="Q8" s="102">
        <v>80000</v>
      </c>
      <c r="R8" s="101">
        <v>0.27700000000000002</v>
      </c>
      <c r="S8" s="35" t="s">
        <v>27</v>
      </c>
      <c r="T8" s="36"/>
      <c r="U8" s="37"/>
      <c r="V8" s="38" t="str">
        <f t="shared" ref="V8:V42" si="0">A8</f>
        <v>台泥一永</v>
      </c>
      <c r="W8" s="39">
        <v>3.0000000000000001E-3</v>
      </c>
    </row>
    <row r="9" spans="1:23" s="5" customFormat="1" ht="17.25" customHeight="1" x14ac:dyDescent="0.4">
      <c r="A9" s="33" t="s">
        <v>64</v>
      </c>
      <c r="B9" s="87">
        <v>13166</v>
      </c>
      <c r="C9" s="34" t="s">
        <v>65</v>
      </c>
      <c r="D9" s="90" t="s">
        <v>66</v>
      </c>
      <c r="E9" s="91">
        <v>2.1499999999999998E-2</v>
      </c>
      <c r="F9" s="92">
        <v>2.4E-2</v>
      </c>
      <c r="G9" s="93">
        <v>46370</v>
      </c>
      <c r="H9" s="93">
        <v>46383</v>
      </c>
      <c r="I9" s="94">
        <v>0.97534246575342465</v>
      </c>
      <c r="J9" s="95">
        <v>100.5</v>
      </c>
      <c r="K9" s="96">
        <v>17.399999999999999</v>
      </c>
      <c r="L9" s="97">
        <v>0.85632183908045989</v>
      </c>
      <c r="M9" s="98">
        <v>112.05</v>
      </c>
      <c r="N9" s="99">
        <v>0.30850335570469778</v>
      </c>
      <c r="O9" s="100">
        <v>14199.999999999996</v>
      </c>
      <c r="P9" s="101">
        <v>1</v>
      </c>
      <c r="Q9" s="102">
        <v>4000</v>
      </c>
      <c r="R9" s="101">
        <v>0.38700000000000001</v>
      </c>
      <c r="S9" s="35" t="s">
        <v>27</v>
      </c>
      <c r="T9" s="36"/>
      <c r="U9" s="40"/>
      <c r="V9" s="38" t="str">
        <f t="shared" si="0"/>
        <v>上曜六</v>
      </c>
      <c r="W9" s="39">
        <v>3.0000000000000001E-3</v>
      </c>
    </row>
    <row r="10" spans="1:23" s="5" customFormat="1" ht="17.25" customHeight="1" x14ac:dyDescent="0.4">
      <c r="A10" s="33" t="s">
        <v>67</v>
      </c>
      <c r="B10" s="87">
        <v>14664</v>
      </c>
      <c r="C10" s="34" t="s">
        <v>68</v>
      </c>
      <c r="D10" s="90" t="s">
        <v>69</v>
      </c>
      <c r="E10" s="91">
        <v>5.7100000000000005E-2</v>
      </c>
      <c r="F10" s="92">
        <v>2.1999999999999999E-2</v>
      </c>
      <c r="G10" s="93">
        <v>46910</v>
      </c>
      <c r="H10" s="93">
        <v>46924</v>
      </c>
      <c r="I10" s="94">
        <v>2.4575342465753423</v>
      </c>
      <c r="J10" s="95">
        <v>100</v>
      </c>
      <c r="K10" s="96">
        <v>18.8</v>
      </c>
      <c r="L10" s="97">
        <v>0.75</v>
      </c>
      <c r="M10" s="98">
        <v>105.05</v>
      </c>
      <c r="N10" s="99">
        <v>0.40066666666666662</v>
      </c>
      <c r="O10" s="100">
        <v>10759.999999999998</v>
      </c>
      <c r="P10" s="101">
        <v>1</v>
      </c>
      <c r="Q10" s="102">
        <v>4000</v>
      </c>
      <c r="R10" s="101">
        <v>0.28799999999999998</v>
      </c>
      <c r="S10" s="35" t="s">
        <v>27</v>
      </c>
      <c r="T10" s="36"/>
      <c r="U10" s="40"/>
      <c r="V10" s="38" t="str">
        <f t="shared" si="0"/>
        <v>聚隆四</v>
      </c>
      <c r="W10" s="39">
        <v>3.0000000000000001E-3</v>
      </c>
    </row>
    <row r="11" spans="1:23" s="5" customFormat="1" ht="17.25" customHeight="1" x14ac:dyDescent="0.4">
      <c r="A11" s="33" t="s">
        <v>70</v>
      </c>
      <c r="B11" s="87">
        <v>14722</v>
      </c>
      <c r="C11" s="34" t="s">
        <v>68</v>
      </c>
      <c r="D11" s="90" t="s">
        <v>71</v>
      </c>
      <c r="E11" s="91">
        <v>2.3699999999999999E-2</v>
      </c>
      <c r="F11" s="92">
        <v>2.1999999999999999E-2</v>
      </c>
      <c r="G11" s="93">
        <v>46524</v>
      </c>
      <c r="H11" s="93">
        <v>46536</v>
      </c>
      <c r="I11" s="94">
        <v>1.3945205479452054</v>
      </c>
      <c r="J11" s="95">
        <v>101.0025</v>
      </c>
      <c r="K11" s="96">
        <v>98.6</v>
      </c>
      <c r="L11" s="97">
        <v>0.89350912778904668</v>
      </c>
      <c r="M11" s="98">
        <v>105.5</v>
      </c>
      <c r="N11" s="99">
        <v>0.18073779795686712</v>
      </c>
      <c r="O11" s="100">
        <v>7869.9999999999991</v>
      </c>
      <c r="P11" s="101">
        <v>1</v>
      </c>
      <c r="Q11" s="102">
        <v>3000</v>
      </c>
      <c r="R11" s="101">
        <v>0.108</v>
      </c>
      <c r="S11" s="35" t="s">
        <v>27</v>
      </c>
      <c r="T11" s="36"/>
      <c r="U11" s="40"/>
      <c r="V11" s="38" t="str">
        <f t="shared" si="0"/>
        <v>三洋實業二</v>
      </c>
      <c r="W11" s="39">
        <v>3.0000000000000001E-3</v>
      </c>
    </row>
    <row r="12" spans="1:23" s="5" customFormat="1" ht="17.25" customHeight="1" x14ac:dyDescent="0.4">
      <c r="A12" s="33" t="s">
        <v>72</v>
      </c>
      <c r="B12" s="87">
        <v>15142</v>
      </c>
      <c r="C12" s="34" t="s">
        <v>62</v>
      </c>
      <c r="D12" s="90" t="s">
        <v>71</v>
      </c>
      <c r="E12" s="91">
        <v>6.6300000000000012E-2</v>
      </c>
      <c r="F12" s="92">
        <v>3.5000000000000003E-2</v>
      </c>
      <c r="G12" s="93">
        <v>46751</v>
      </c>
      <c r="H12" s="93">
        <v>46765</v>
      </c>
      <c r="I12" s="94">
        <v>2.021917808219178</v>
      </c>
      <c r="J12" s="95">
        <v>100.75190000000001</v>
      </c>
      <c r="K12" s="96">
        <v>109.2</v>
      </c>
      <c r="L12" s="97">
        <v>0.89835164835164827</v>
      </c>
      <c r="M12" s="98">
        <v>116.05</v>
      </c>
      <c r="N12" s="99">
        <v>0.29181039755351684</v>
      </c>
      <c r="O12" s="100">
        <v>22680</v>
      </c>
      <c r="P12" s="101">
        <v>1</v>
      </c>
      <c r="Q12" s="102">
        <v>12000</v>
      </c>
      <c r="R12" s="101">
        <v>0.255</v>
      </c>
      <c r="S12" s="35" t="s">
        <v>28</v>
      </c>
      <c r="T12" s="36"/>
      <c r="U12" s="40"/>
      <c r="V12" s="38" t="str">
        <f t="shared" si="0"/>
        <v>亞力二</v>
      </c>
      <c r="W12" s="39">
        <v>3.0000000000000001E-3</v>
      </c>
    </row>
    <row r="13" spans="1:23" s="5" customFormat="1" ht="17.25" customHeight="1" x14ac:dyDescent="0.4">
      <c r="A13" s="33" t="s">
        <v>73</v>
      </c>
      <c r="B13" s="87">
        <v>15601</v>
      </c>
      <c r="C13" s="34" t="s">
        <v>62</v>
      </c>
      <c r="D13" s="90" t="s">
        <v>63</v>
      </c>
      <c r="E13" s="91">
        <v>3.9700000000000006E-2</v>
      </c>
      <c r="F13" s="92">
        <v>2.5000000000000001E-2</v>
      </c>
      <c r="G13" s="93">
        <v>46548</v>
      </c>
      <c r="H13" s="93">
        <v>46562</v>
      </c>
      <c r="I13" s="94">
        <v>1.4657534246575343</v>
      </c>
      <c r="J13" s="95">
        <v>100</v>
      </c>
      <c r="K13" s="96">
        <v>284.60000000000002</v>
      </c>
      <c r="L13" s="97">
        <v>1.4300773014757553</v>
      </c>
      <c r="M13" s="98">
        <v>144.94999999999999</v>
      </c>
      <c r="N13" s="99">
        <v>1.3581572481572511E-2</v>
      </c>
      <c r="O13" s="100">
        <v>48919.999999999993</v>
      </c>
      <c r="P13" s="101">
        <v>1</v>
      </c>
      <c r="Q13" s="102">
        <v>10000</v>
      </c>
      <c r="R13" s="101">
        <v>0.38300000000000001</v>
      </c>
      <c r="S13" s="35" t="s">
        <v>27</v>
      </c>
      <c r="T13" s="36"/>
      <c r="U13" s="37"/>
      <c r="V13" s="38" t="str">
        <f t="shared" si="0"/>
        <v>中砂一</v>
      </c>
      <c r="W13" s="39">
        <v>3.0000000000000001E-3</v>
      </c>
    </row>
    <row r="14" spans="1:23" s="5" customFormat="1" ht="17.25" customHeight="1" x14ac:dyDescent="0.4">
      <c r="A14" s="33" t="s">
        <v>74</v>
      </c>
      <c r="B14" s="87">
        <v>15864</v>
      </c>
      <c r="C14" s="34" t="s">
        <v>75</v>
      </c>
      <c r="D14" s="90" t="s">
        <v>66</v>
      </c>
      <c r="E14" s="91">
        <v>1.7299999999999999E-2</v>
      </c>
      <c r="F14" s="92">
        <v>2.1999999999999999E-2</v>
      </c>
      <c r="G14" s="93">
        <v>46251</v>
      </c>
      <c r="H14" s="93">
        <v>46264</v>
      </c>
      <c r="I14" s="94">
        <v>0.64931506849315068</v>
      </c>
      <c r="J14" s="95">
        <v>100</v>
      </c>
      <c r="K14" s="96">
        <v>30.74</v>
      </c>
      <c r="L14" s="97">
        <v>0.82465842550422908</v>
      </c>
      <c r="M14" s="98">
        <v>105.4</v>
      </c>
      <c r="N14" s="99">
        <v>0.27810493096646943</v>
      </c>
      <c r="O14" s="100">
        <v>7130.0000000000055</v>
      </c>
      <c r="P14" s="101">
        <v>1</v>
      </c>
      <c r="Q14" s="102">
        <v>2000</v>
      </c>
      <c r="R14" s="101">
        <v>0.36299999999999999</v>
      </c>
      <c r="S14" s="35" t="s">
        <v>27</v>
      </c>
      <c r="T14" s="36"/>
      <c r="U14" s="40"/>
      <c r="V14" s="38" t="str">
        <f t="shared" si="0"/>
        <v>和勤四</v>
      </c>
      <c r="W14" s="39">
        <v>3.0000000000000001E-3</v>
      </c>
    </row>
    <row r="15" spans="1:23" s="5" customFormat="1" ht="17.25" customHeight="1" x14ac:dyDescent="0.4">
      <c r="A15" s="33" t="s">
        <v>76</v>
      </c>
      <c r="B15" s="87">
        <v>17813</v>
      </c>
      <c r="C15" s="34" t="s">
        <v>77</v>
      </c>
      <c r="D15" s="90" t="s">
        <v>69</v>
      </c>
      <c r="E15" s="91">
        <v>4.2600000000000006E-2</v>
      </c>
      <c r="F15" s="92">
        <v>2.3E-2</v>
      </c>
      <c r="G15" s="93">
        <v>46640</v>
      </c>
      <c r="H15" s="93">
        <v>46654</v>
      </c>
      <c r="I15" s="94">
        <v>1.7178082191780821</v>
      </c>
      <c r="J15" s="95">
        <v>100</v>
      </c>
      <c r="K15" s="96">
        <v>18</v>
      </c>
      <c r="L15" s="97">
        <v>0.61111111111111116</v>
      </c>
      <c r="M15" s="98">
        <v>101.15</v>
      </c>
      <c r="N15" s="99">
        <v>0.6551818181818182</v>
      </c>
      <c r="O15" s="100">
        <v>5410.0000000000064</v>
      </c>
      <c r="P15" s="101">
        <v>1</v>
      </c>
      <c r="Q15" s="102">
        <v>2000</v>
      </c>
      <c r="R15" s="101">
        <v>0.14799999999999999</v>
      </c>
      <c r="S15" s="35" t="s">
        <v>27</v>
      </c>
      <c r="T15" s="36"/>
      <c r="U15" s="40"/>
      <c r="V15" s="38" t="str">
        <f t="shared" si="0"/>
        <v>合世三</v>
      </c>
      <c r="W15" s="39">
        <v>3.0000000000000001E-3</v>
      </c>
    </row>
    <row r="16" spans="1:23" s="5" customFormat="1" ht="17.25" customHeight="1" x14ac:dyDescent="0.4">
      <c r="A16" s="33" t="s">
        <v>78</v>
      </c>
      <c r="B16" s="87">
        <v>17863</v>
      </c>
      <c r="C16" s="34" t="s">
        <v>62</v>
      </c>
      <c r="D16" s="90" t="s">
        <v>71</v>
      </c>
      <c r="E16" s="91">
        <v>4.9700000000000008E-2</v>
      </c>
      <c r="F16" s="92">
        <v>4.2500000000000003E-2</v>
      </c>
      <c r="G16" s="93">
        <v>46587</v>
      </c>
      <c r="H16" s="93">
        <v>46600</v>
      </c>
      <c r="I16" s="94">
        <v>1.5698630136986302</v>
      </c>
      <c r="J16" s="95">
        <v>102.01</v>
      </c>
      <c r="K16" s="96">
        <v>116.5</v>
      </c>
      <c r="L16" s="97">
        <v>0.62660944206008584</v>
      </c>
      <c r="M16" s="98">
        <v>123</v>
      </c>
      <c r="N16" s="99">
        <v>0.96294520547945195</v>
      </c>
      <c r="O16" s="100">
        <v>27970</v>
      </c>
      <c r="P16" s="101">
        <v>1</v>
      </c>
      <c r="Q16" s="102">
        <v>4000</v>
      </c>
      <c r="R16" s="101">
        <v>0.41199999999999998</v>
      </c>
      <c r="S16" s="35" t="s">
        <v>28</v>
      </c>
      <c r="T16" s="36"/>
      <c r="U16" s="37"/>
      <c r="V16" s="38" t="str">
        <f t="shared" si="0"/>
        <v>科妍三</v>
      </c>
      <c r="W16" s="39">
        <v>3.0000000000000001E-3</v>
      </c>
    </row>
    <row r="17" spans="1:23" s="5" customFormat="1" ht="17.25" customHeight="1" x14ac:dyDescent="0.4">
      <c r="A17" s="33" t="s">
        <v>79</v>
      </c>
      <c r="B17" s="87">
        <v>22283</v>
      </c>
      <c r="C17" s="34" t="s">
        <v>62</v>
      </c>
      <c r="D17" s="90" t="s">
        <v>80</v>
      </c>
      <c r="E17" s="91">
        <v>4.9200000000000008E-2</v>
      </c>
      <c r="F17" s="92">
        <v>2.8000000000000001E-2</v>
      </c>
      <c r="G17" s="93">
        <v>46615</v>
      </c>
      <c r="H17" s="93">
        <v>46628</v>
      </c>
      <c r="I17" s="94">
        <v>1.6465753424657534</v>
      </c>
      <c r="J17" s="95">
        <v>100</v>
      </c>
      <c r="K17" s="96">
        <v>85.36</v>
      </c>
      <c r="L17" s="97">
        <v>1.2769447047797564</v>
      </c>
      <c r="M17" s="98">
        <v>129</v>
      </c>
      <c r="N17" s="99">
        <v>1.0223853211009099E-2</v>
      </c>
      <c r="O17" s="100">
        <v>33920</v>
      </c>
      <c r="P17" s="101">
        <v>0.92900000000000005</v>
      </c>
      <c r="Q17" s="102">
        <v>3000</v>
      </c>
      <c r="R17" s="101">
        <v>0.53300000000000003</v>
      </c>
      <c r="S17" s="35" t="s">
        <v>27</v>
      </c>
      <c r="T17" s="36"/>
      <c r="U17" s="40"/>
      <c r="V17" s="38" t="str">
        <f t="shared" si="0"/>
        <v>劍麟三</v>
      </c>
      <c r="W17" s="39">
        <v>3.0000000000000001E-3</v>
      </c>
    </row>
    <row r="18" spans="1:23" s="5" customFormat="1" ht="17.25" customHeight="1" x14ac:dyDescent="0.4">
      <c r="A18" s="33" t="s">
        <v>81</v>
      </c>
      <c r="B18" s="87">
        <v>22471</v>
      </c>
      <c r="C18" s="34" t="s">
        <v>62</v>
      </c>
      <c r="D18" s="90" t="s">
        <v>63</v>
      </c>
      <c r="E18" s="91">
        <v>6.9800000000000001E-2</v>
      </c>
      <c r="F18" s="92">
        <v>2.7E-2</v>
      </c>
      <c r="G18" s="93">
        <v>46916</v>
      </c>
      <c r="H18" s="93">
        <v>46930</v>
      </c>
      <c r="I18" s="94">
        <v>2.473972602739726</v>
      </c>
      <c r="J18" s="95">
        <v>100</v>
      </c>
      <c r="K18" s="96">
        <v>289.39999999999998</v>
      </c>
      <c r="L18" s="97">
        <v>0.97442985487214939</v>
      </c>
      <c r="M18" s="98">
        <v>105.45</v>
      </c>
      <c r="N18" s="99">
        <v>8.2171276595744566E-2</v>
      </c>
      <c r="O18" s="100">
        <v>12430.000000000002</v>
      </c>
      <c r="P18" s="101">
        <v>1</v>
      </c>
      <c r="Q18" s="102">
        <v>10000</v>
      </c>
      <c r="R18" s="101">
        <v>0.123</v>
      </c>
      <c r="S18" s="35" t="s">
        <v>27</v>
      </c>
      <c r="T18" s="36" t="s">
        <v>3</v>
      </c>
      <c r="U18" s="40"/>
      <c r="V18" s="38" t="str">
        <f t="shared" si="0"/>
        <v>汎德永業一</v>
      </c>
      <c r="W18" s="39">
        <v>3.0000000000000001E-3</v>
      </c>
    </row>
    <row r="19" spans="1:23" s="5" customFormat="1" ht="17.25" customHeight="1" x14ac:dyDescent="0.4">
      <c r="A19" s="33" t="s">
        <v>82</v>
      </c>
      <c r="B19" s="87">
        <v>22472</v>
      </c>
      <c r="C19" s="34" t="s">
        <v>62</v>
      </c>
      <c r="D19" s="90" t="s">
        <v>63</v>
      </c>
      <c r="E19" s="91">
        <v>7.010000000000001E-2</v>
      </c>
      <c r="F19" s="92">
        <v>2.7E-2</v>
      </c>
      <c r="G19" s="93">
        <v>46920</v>
      </c>
      <c r="H19" s="93">
        <v>46934</v>
      </c>
      <c r="I19" s="94">
        <v>2.484931506849315</v>
      </c>
      <c r="J19" s="95">
        <v>100</v>
      </c>
      <c r="K19" s="96">
        <v>280.2</v>
      </c>
      <c r="L19" s="97">
        <v>1.0064239828693791</v>
      </c>
      <c r="M19" s="98">
        <v>106.15</v>
      </c>
      <c r="N19" s="99">
        <v>5.4724468085106406E-2</v>
      </c>
      <c r="O19" s="100">
        <v>13160.000000000005</v>
      </c>
      <c r="P19" s="101">
        <v>1</v>
      </c>
      <c r="Q19" s="102">
        <v>10000</v>
      </c>
      <c r="R19" s="101">
        <v>0.123</v>
      </c>
      <c r="S19" s="35" t="s">
        <v>27</v>
      </c>
      <c r="T19" s="36"/>
      <c r="U19" s="40"/>
      <c r="V19" s="38" t="str">
        <f t="shared" si="0"/>
        <v>汎德永業二</v>
      </c>
      <c r="W19" s="39">
        <v>3.0000000000000001E-3</v>
      </c>
    </row>
    <row r="20" spans="1:23" s="5" customFormat="1" ht="18" customHeight="1" x14ac:dyDescent="0.4">
      <c r="A20" s="33" t="s">
        <v>83</v>
      </c>
      <c r="B20" s="87">
        <v>23511</v>
      </c>
      <c r="C20" s="34" t="s">
        <v>62</v>
      </c>
      <c r="D20" s="90" t="s">
        <v>80</v>
      </c>
      <c r="E20" s="91">
        <v>8.270000000000001E-2</v>
      </c>
      <c r="F20" s="92">
        <v>3.2500000000000001E-2</v>
      </c>
      <c r="G20" s="93">
        <v>46909</v>
      </c>
      <c r="H20" s="93">
        <v>46921</v>
      </c>
      <c r="I20" s="94">
        <v>2.4493150684931506</v>
      </c>
      <c r="J20" s="95">
        <v>100</v>
      </c>
      <c r="K20" s="96">
        <v>72.400000000000006</v>
      </c>
      <c r="L20" s="97">
        <v>1.05939226519337</v>
      </c>
      <c r="M20" s="98">
        <v>124.95</v>
      </c>
      <c r="N20" s="99">
        <v>0.17944980443285552</v>
      </c>
      <c r="O20" s="100">
        <v>33220.000000000007</v>
      </c>
      <c r="P20" s="101">
        <v>1</v>
      </c>
      <c r="Q20" s="102">
        <v>12000</v>
      </c>
      <c r="R20" s="101">
        <v>0.33900000000000002</v>
      </c>
      <c r="S20" s="35" t="s">
        <v>27</v>
      </c>
      <c r="T20" s="36"/>
      <c r="U20" s="40"/>
      <c r="V20" s="38" t="str">
        <f t="shared" si="0"/>
        <v>順德一</v>
      </c>
      <c r="W20" s="39">
        <v>3.0000000000000001E-3</v>
      </c>
    </row>
    <row r="21" spans="1:23" s="5" customFormat="1" ht="17.25" customHeight="1" x14ac:dyDescent="0.4">
      <c r="A21" s="33" t="s">
        <v>84</v>
      </c>
      <c r="B21" s="87">
        <v>23683</v>
      </c>
      <c r="C21" s="34" t="s">
        <v>62</v>
      </c>
      <c r="D21" s="90" t="s">
        <v>85</v>
      </c>
      <c r="E21" s="91">
        <v>7.2400000000000006E-2</v>
      </c>
      <c r="F21" s="92">
        <v>2.4E-2</v>
      </c>
      <c r="G21" s="93">
        <v>47067</v>
      </c>
      <c r="H21" s="93">
        <v>47081</v>
      </c>
      <c r="I21" s="94">
        <v>2.8876712328767122</v>
      </c>
      <c r="J21" s="95">
        <v>100</v>
      </c>
      <c r="K21" s="96">
        <v>450</v>
      </c>
      <c r="L21" s="97">
        <v>1.4288888888888889</v>
      </c>
      <c r="M21" s="98">
        <v>154</v>
      </c>
      <c r="N21" s="99">
        <v>7.7760497667185097E-2</v>
      </c>
      <c r="O21" s="100">
        <v>61240.000000000007</v>
      </c>
      <c r="P21" s="101">
        <v>1</v>
      </c>
      <c r="Q21" s="102">
        <v>90000</v>
      </c>
      <c r="R21" s="101">
        <v>0.69799999999999995</v>
      </c>
      <c r="S21" s="35" t="s">
        <v>28</v>
      </c>
      <c r="T21" s="36"/>
      <c r="U21" s="37"/>
      <c r="V21" s="38" t="str">
        <f t="shared" si="0"/>
        <v>金像電三</v>
      </c>
      <c r="W21" s="39">
        <v>3.0000000000000001E-3</v>
      </c>
    </row>
    <row r="22" spans="1:23" s="5" customFormat="1" ht="17.25" customHeight="1" x14ac:dyDescent="0.4">
      <c r="A22" s="33" t="s">
        <v>86</v>
      </c>
      <c r="B22" s="87">
        <v>24023</v>
      </c>
      <c r="C22" s="34" t="s">
        <v>62</v>
      </c>
      <c r="D22" s="90" t="s">
        <v>80</v>
      </c>
      <c r="E22" s="91">
        <v>5.9200000000000003E-2</v>
      </c>
      <c r="F22" s="92">
        <v>0.03</v>
      </c>
      <c r="G22" s="93">
        <v>46696</v>
      </c>
      <c r="H22" s="93">
        <v>46710</v>
      </c>
      <c r="I22" s="94">
        <v>1.8712328767123287</v>
      </c>
      <c r="J22" s="95">
        <v>100</v>
      </c>
      <c r="K22" s="96">
        <v>55</v>
      </c>
      <c r="L22" s="97">
        <v>1.1545454545454545</v>
      </c>
      <c r="M22" s="98">
        <v>131.80000000000001</v>
      </c>
      <c r="N22" s="99">
        <v>0.14157480314960641</v>
      </c>
      <c r="O22" s="100">
        <v>37720.000000000007</v>
      </c>
      <c r="P22" s="101">
        <v>1</v>
      </c>
      <c r="Q22" s="102">
        <v>10000</v>
      </c>
      <c r="R22" s="101">
        <v>0.65700000000000003</v>
      </c>
      <c r="S22" s="35" t="s">
        <v>28</v>
      </c>
      <c r="T22" s="36"/>
      <c r="U22" s="40"/>
      <c r="V22" s="38" t="str">
        <f t="shared" si="0"/>
        <v>毅嘉三</v>
      </c>
      <c r="W22" s="39">
        <v>3.0000000000000001E-3</v>
      </c>
    </row>
    <row r="23" spans="1:23" s="5" customFormat="1" ht="17.25" customHeight="1" x14ac:dyDescent="0.4">
      <c r="A23" s="33" t="s">
        <v>87</v>
      </c>
      <c r="B23" s="87">
        <v>24394</v>
      </c>
      <c r="C23" s="34" t="s">
        <v>62</v>
      </c>
      <c r="D23" s="90" t="s">
        <v>85</v>
      </c>
      <c r="E23" s="91">
        <v>4.0800000000000003E-2</v>
      </c>
      <c r="F23" s="92">
        <v>2.5000000000000001E-2</v>
      </c>
      <c r="G23" s="93">
        <v>46566</v>
      </c>
      <c r="H23" s="93">
        <v>46578</v>
      </c>
      <c r="I23" s="94">
        <v>1.5095890410958903</v>
      </c>
      <c r="J23" s="95">
        <v>100</v>
      </c>
      <c r="K23" s="96">
        <v>128.9</v>
      </c>
      <c r="L23" s="97">
        <v>0.74321179208688903</v>
      </c>
      <c r="M23" s="98">
        <v>103</v>
      </c>
      <c r="N23" s="99">
        <v>0.38587682672233825</v>
      </c>
      <c r="O23" s="100">
        <v>7080</v>
      </c>
      <c r="P23" s="101">
        <v>1</v>
      </c>
      <c r="Q23" s="102">
        <v>25000</v>
      </c>
      <c r="R23" s="101">
        <v>0.22</v>
      </c>
      <c r="S23" s="35" t="s">
        <v>27</v>
      </c>
      <c r="T23" s="36"/>
      <c r="U23" s="40"/>
      <c r="V23" s="38" t="str">
        <f t="shared" si="0"/>
        <v>美律四</v>
      </c>
      <c r="W23" s="39">
        <v>3.0000000000000001E-3</v>
      </c>
    </row>
    <row r="24" spans="1:23" s="5" customFormat="1" ht="15.75" customHeight="1" x14ac:dyDescent="0.4">
      <c r="A24" s="33" t="s">
        <v>29</v>
      </c>
      <c r="B24" s="87">
        <v>24395</v>
      </c>
      <c r="C24" s="34" t="s">
        <v>62</v>
      </c>
      <c r="D24" s="90" t="s">
        <v>85</v>
      </c>
      <c r="E24" s="91">
        <v>4.1600000000000005E-2</v>
      </c>
      <c r="F24" s="92">
        <v>2.5000000000000001E-2</v>
      </c>
      <c r="G24" s="93">
        <v>46576</v>
      </c>
      <c r="H24" s="93">
        <v>46590</v>
      </c>
      <c r="I24" s="94">
        <v>1.5424657534246575</v>
      </c>
      <c r="J24" s="95">
        <v>100</v>
      </c>
      <c r="K24" s="96">
        <v>125.2</v>
      </c>
      <c r="L24" s="97">
        <v>0.76517571884984026</v>
      </c>
      <c r="M24" s="98">
        <v>104.75</v>
      </c>
      <c r="N24" s="99">
        <v>0.36896659707724433</v>
      </c>
      <c r="O24" s="100">
        <v>8910.0000000000018</v>
      </c>
      <c r="P24" s="101">
        <v>1</v>
      </c>
      <c r="Q24" s="102">
        <v>5000</v>
      </c>
      <c r="R24" s="101">
        <v>0.22</v>
      </c>
      <c r="S24" s="35" t="s">
        <v>27</v>
      </c>
      <c r="T24" s="36"/>
      <c r="U24" s="40"/>
      <c r="V24" s="38" t="str">
        <f t="shared" si="0"/>
        <v>美律五</v>
      </c>
      <c r="W24" s="39">
        <v>3.0000000000000001E-3</v>
      </c>
    </row>
    <row r="25" spans="1:23" s="5" customFormat="1" ht="17.25" customHeight="1" x14ac:dyDescent="0.4">
      <c r="A25" s="33" t="s">
        <v>88</v>
      </c>
      <c r="B25" s="87">
        <v>24616</v>
      </c>
      <c r="C25" s="34" t="s">
        <v>68</v>
      </c>
      <c r="D25" s="90" t="s">
        <v>71</v>
      </c>
      <c r="E25" s="91">
        <v>7.8000000000000005E-3</v>
      </c>
      <c r="F25" s="92">
        <v>2.1999999999999999E-2</v>
      </c>
      <c r="G25" s="93">
        <v>46091</v>
      </c>
      <c r="H25" s="93">
        <v>46105</v>
      </c>
      <c r="I25" s="94">
        <v>0.21369863013698631</v>
      </c>
      <c r="J25" s="95">
        <v>100</v>
      </c>
      <c r="K25" s="96">
        <v>14.5</v>
      </c>
      <c r="L25" s="97">
        <v>1.0620689655172415</v>
      </c>
      <c r="M25" s="98">
        <v>138</v>
      </c>
      <c r="N25" s="99">
        <v>0.29935064935064915</v>
      </c>
      <c r="O25" s="100">
        <v>38780</v>
      </c>
      <c r="P25" s="101">
        <v>0.42666666666666669</v>
      </c>
      <c r="Q25" s="102">
        <v>6000</v>
      </c>
      <c r="R25" s="101">
        <v>0.127</v>
      </c>
      <c r="S25" s="35" t="s">
        <v>27</v>
      </c>
      <c r="T25" s="36"/>
      <c r="U25" s="40"/>
      <c r="V25" s="38" t="str">
        <f t="shared" si="0"/>
        <v>光群雷六</v>
      </c>
      <c r="W25" s="39">
        <v>3.0000000000000001E-3</v>
      </c>
    </row>
    <row r="26" spans="1:23" s="5" customFormat="1" ht="17.25" customHeight="1" x14ac:dyDescent="0.4">
      <c r="A26" s="33" t="s">
        <v>89</v>
      </c>
      <c r="B26" s="87">
        <v>24762</v>
      </c>
      <c r="C26" s="34" t="s">
        <v>62</v>
      </c>
      <c r="D26" s="90" t="s">
        <v>63</v>
      </c>
      <c r="E26" s="91">
        <v>3.0499999999999999E-2</v>
      </c>
      <c r="F26" s="92">
        <v>2.5999999999999999E-2</v>
      </c>
      <c r="G26" s="93">
        <v>46399</v>
      </c>
      <c r="H26" s="93">
        <v>46413</v>
      </c>
      <c r="I26" s="94">
        <v>1.0575342465753426</v>
      </c>
      <c r="J26" s="95">
        <v>100</v>
      </c>
      <c r="K26" s="96">
        <v>66.5</v>
      </c>
      <c r="L26" s="97">
        <v>1.368421052631579</v>
      </c>
      <c r="M26" s="98">
        <v>138</v>
      </c>
      <c r="N26" s="99">
        <v>8.4615384615384943E-3</v>
      </c>
      <c r="O26" s="100">
        <v>41050</v>
      </c>
      <c r="P26" s="101">
        <v>0.38950000000000001</v>
      </c>
      <c r="Q26" s="102">
        <v>10000</v>
      </c>
      <c r="R26" s="101">
        <v>0.254</v>
      </c>
      <c r="S26" s="35" t="s">
        <v>28</v>
      </c>
      <c r="T26" s="36"/>
      <c r="U26" s="40"/>
      <c r="V26" s="38" t="str">
        <f t="shared" si="0"/>
        <v>鉅祥二</v>
      </c>
      <c r="W26" s="39">
        <v>3.0000000000000001E-3</v>
      </c>
    </row>
    <row r="27" spans="1:23" s="5" customFormat="1" ht="17.25" customHeight="1" x14ac:dyDescent="0.4">
      <c r="A27" s="33" t="s">
        <v>90</v>
      </c>
      <c r="B27" s="87">
        <v>24866</v>
      </c>
      <c r="C27" s="34" t="s">
        <v>62</v>
      </c>
      <c r="D27" s="90" t="s">
        <v>71</v>
      </c>
      <c r="E27" s="91">
        <v>0.01</v>
      </c>
      <c r="F27" s="92">
        <v>3.5000000000000003E-2</v>
      </c>
      <c r="G27" s="93">
        <v>46190</v>
      </c>
      <c r="H27" s="93">
        <v>46204</v>
      </c>
      <c r="I27" s="94">
        <v>0.48493150684931507</v>
      </c>
      <c r="J27" s="95">
        <v>101.0025</v>
      </c>
      <c r="K27" s="96">
        <v>125.2</v>
      </c>
      <c r="L27" s="97">
        <v>0.76757188498402551</v>
      </c>
      <c r="M27" s="98">
        <v>108</v>
      </c>
      <c r="N27" s="99">
        <v>0.40703433922996879</v>
      </c>
      <c r="O27" s="100">
        <v>9000</v>
      </c>
      <c r="P27" s="101">
        <v>1</v>
      </c>
      <c r="Q27" s="102">
        <v>6000</v>
      </c>
      <c r="R27" s="101">
        <v>0.65900000000000003</v>
      </c>
      <c r="S27" s="35" t="s">
        <v>28</v>
      </c>
      <c r="T27" s="36"/>
      <c r="U27" s="40"/>
      <c r="V27" s="38" t="str">
        <f t="shared" si="0"/>
        <v>一詮六</v>
      </c>
      <c r="W27" s="39">
        <v>3.0000000000000001E-3</v>
      </c>
    </row>
    <row r="28" spans="1:23" s="5" customFormat="1" ht="17.25" customHeight="1" x14ac:dyDescent="0.4">
      <c r="A28" s="33" t="s">
        <v>91</v>
      </c>
      <c r="B28" s="87">
        <v>25283</v>
      </c>
      <c r="C28" s="34" t="s">
        <v>92</v>
      </c>
      <c r="D28" s="90" t="s">
        <v>66</v>
      </c>
      <c r="E28" s="91">
        <v>3.9200000000000006E-2</v>
      </c>
      <c r="F28" s="92">
        <v>2.1999999999999999E-2</v>
      </c>
      <c r="G28" s="93">
        <v>46738</v>
      </c>
      <c r="H28" s="93">
        <v>46752</v>
      </c>
      <c r="I28" s="94">
        <v>1.9863013698630136</v>
      </c>
      <c r="J28" s="95">
        <v>100.752</v>
      </c>
      <c r="K28" s="96">
        <v>42.4</v>
      </c>
      <c r="L28" s="97">
        <v>0.70990566037735858</v>
      </c>
      <c r="M28" s="98">
        <v>109.9</v>
      </c>
      <c r="N28" s="99">
        <v>0.54809302325581377</v>
      </c>
      <c r="O28" s="100">
        <v>13820.000000000007</v>
      </c>
      <c r="P28" s="101">
        <v>1</v>
      </c>
      <c r="Q28" s="102">
        <v>6000</v>
      </c>
      <c r="R28" s="101">
        <v>0.22500000000000001</v>
      </c>
      <c r="S28" s="35" t="s">
        <v>27</v>
      </c>
      <c r="T28" s="36"/>
      <c r="U28" s="40"/>
      <c r="V28" s="38" t="str">
        <f t="shared" si="0"/>
        <v>皇普三</v>
      </c>
      <c r="W28" s="39">
        <v>3.0000000000000001E-3</v>
      </c>
    </row>
    <row r="29" spans="1:23" s="5" customFormat="1" ht="17.25" customHeight="1" x14ac:dyDescent="0.4">
      <c r="A29" s="33" t="s">
        <v>93</v>
      </c>
      <c r="B29" s="87">
        <v>25483</v>
      </c>
      <c r="C29" s="34" t="s">
        <v>62</v>
      </c>
      <c r="D29" s="90" t="s">
        <v>63</v>
      </c>
      <c r="E29" s="91">
        <v>6.3899999999999998E-2</v>
      </c>
      <c r="F29" s="92">
        <v>3.5000000000000003E-2</v>
      </c>
      <c r="G29" s="93">
        <v>46650</v>
      </c>
      <c r="H29" s="93">
        <v>46662</v>
      </c>
      <c r="I29" s="94">
        <v>1.7397260273972603</v>
      </c>
      <c r="J29" s="95">
        <v>100</v>
      </c>
      <c r="K29" s="96">
        <v>125</v>
      </c>
      <c r="L29" s="97">
        <v>0.92</v>
      </c>
      <c r="M29" s="98">
        <v>103.6</v>
      </c>
      <c r="N29" s="99">
        <v>0.12608695652173907</v>
      </c>
      <c r="O29" s="100">
        <v>9989.9999999999927</v>
      </c>
      <c r="P29" s="101">
        <v>1</v>
      </c>
      <c r="Q29" s="102">
        <v>40000</v>
      </c>
      <c r="R29" s="101">
        <v>0.22800000000000001</v>
      </c>
      <c r="S29" s="35" t="s">
        <v>28</v>
      </c>
      <c r="T29" s="36"/>
      <c r="U29" s="40"/>
      <c r="V29" s="38" t="str">
        <f t="shared" si="0"/>
        <v>華固三</v>
      </c>
      <c r="W29" s="39">
        <v>3.0000000000000001E-3</v>
      </c>
    </row>
    <row r="30" spans="1:23" s="5" customFormat="1" ht="17.25" customHeight="1" x14ac:dyDescent="0.4">
      <c r="A30" s="33" t="s">
        <v>94</v>
      </c>
      <c r="B30" s="87">
        <v>26107</v>
      </c>
      <c r="C30" s="34" t="s">
        <v>62</v>
      </c>
      <c r="D30" s="90" t="s">
        <v>63</v>
      </c>
      <c r="E30" s="91">
        <v>1.0800000000000001E-2</v>
      </c>
      <c r="F30" s="92">
        <v>2.5000000000000001E-2</v>
      </c>
      <c r="G30" s="93">
        <v>46126</v>
      </c>
      <c r="H30" s="93">
        <v>46140</v>
      </c>
      <c r="I30" s="94">
        <v>0.30958904109589042</v>
      </c>
      <c r="J30" s="95">
        <v>100</v>
      </c>
      <c r="K30" s="96">
        <v>16.899999999999999</v>
      </c>
      <c r="L30" s="97">
        <v>1.1982248520710059</v>
      </c>
      <c r="M30" s="98">
        <v>123.8</v>
      </c>
      <c r="N30" s="99">
        <v>3.3195061728394981E-2</v>
      </c>
      <c r="O30" s="100">
        <v>24879.999999999996</v>
      </c>
      <c r="P30" s="101">
        <v>0.22997777777777778</v>
      </c>
      <c r="Q30" s="102">
        <v>45000</v>
      </c>
      <c r="R30" s="101">
        <v>0.16400000000000001</v>
      </c>
      <c r="S30" s="35" t="s">
        <v>28</v>
      </c>
      <c r="T30" s="36"/>
      <c r="U30" s="40"/>
      <c r="V30" s="38" t="str">
        <f t="shared" si="0"/>
        <v>華航七</v>
      </c>
      <c r="W30" s="39">
        <v>3.0000000000000001E-3</v>
      </c>
    </row>
    <row r="31" spans="1:23" s="5" customFormat="1" ht="17.25" customHeight="1" x14ac:dyDescent="0.4">
      <c r="A31" s="33" t="s">
        <v>95</v>
      </c>
      <c r="B31" s="87">
        <v>27271</v>
      </c>
      <c r="C31" s="34" t="s">
        <v>62</v>
      </c>
      <c r="D31" s="90" t="s">
        <v>63</v>
      </c>
      <c r="E31" s="91">
        <v>1.8E-3</v>
      </c>
      <c r="F31" s="92">
        <v>2.8000000000000001E-2</v>
      </c>
      <c r="G31" s="93">
        <v>46097</v>
      </c>
      <c r="H31" s="93">
        <v>46110</v>
      </c>
      <c r="I31" s="94">
        <v>0.22739726027397261</v>
      </c>
      <c r="J31" s="95">
        <v>100.75190000000001</v>
      </c>
      <c r="K31" s="96">
        <v>233.4</v>
      </c>
      <c r="L31" s="97">
        <v>0.9340188517566409</v>
      </c>
      <c r="M31" s="98">
        <v>107.35</v>
      </c>
      <c r="N31" s="99">
        <v>0.14933440366972478</v>
      </c>
      <c r="O31" s="100">
        <v>7529.9999999999936</v>
      </c>
      <c r="P31" s="101">
        <v>0.99985714285714289</v>
      </c>
      <c r="Q31" s="102">
        <v>7000</v>
      </c>
      <c r="R31" s="101">
        <v>0.13800000000000001</v>
      </c>
      <c r="S31" s="35" t="s">
        <v>28</v>
      </c>
      <c r="T31" s="36"/>
      <c r="U31" s="40"/>
      <c r="V31" s="38" t="str">
        <f t="shared" si="0"/>
        <v>王品一</v>
      </c>
      <c r="W31" s="39">
        <v>3.0000000000000001E-3</v>
      </c>
    </row>
    <row r="32" spans="1:23" s="5" customFormat="1" ht="17.25" customHeight="1" x14ac:dyDescent="0.4">
      <c r="A32" s="33" t="s">
        <v>96</v>
      </c>
      <c r="B32" s="87">
        <v>27431</v>
      </c>
      <c r="C32" s="34" t="s">
        <v>62</v>
      </c>
      <c r="D32" s="90" t="s">
        <v>63</v>
      </c>
      <c r="E32" s="91">
        <v>4.2300000000000004E-2</v>
      </c>
      <c r="F32" s="92">
        <v>0.03</v>
      </c>
      <c r="G32" s="93">
        <v>46615</v>
      </c>
      <c r="H32" s="93">
        <v>46627</v>
      </c>
      <c r="I32" s="94">
        <v>1.6438356164383561</v>
      </c>
      <c r="J32" s="95">
        <v>101.0025</v>
      </c>
      <c r="K32" s="96">
        <v>101.9</v>
      </c>
      <c r="L32" s="97">
        <v>0.80078508341511279</v>
      </c>
      <c r="M32" s="98">
        <v>103.5</v>
      </c>
      <c r="N32" s="99">
        <v>0.29248161764705888</v>
      </c>
      <c r="O32" s="100">
        <v>7730.0000000000009</v>
      </c>
      <c r="P32" s="101">
        <v>1</v>
      </c>
      <c r="Q32" s="102">
        <v>3000</v>
      </c>
      <c r="R32" s="101">
        <v>0.218</v>
      </c>
      <c r="S32" s="35" t="s">
        <v>28</v>
      </c>
      <c r="T32" s="36"/>
      <c r="U32" s="40"/>
      <c r="V32" s="38" t="str">
        <f t="shared" si="0"/>
        <v>山富一</v>
      </c>
      <c r="W32" s="39">
        <v>3.0000000000000001E-3</v>
      </c>
    </row>
    <row r="33" spans="1:23" s="5" customFormat="1" ht="17.149999999999999" customHeight="1" x14ac:dyDescent="0.4">
      <c r="A33" s="33" t="s">
        <v>97</v>
      </c>
      <c r="B33" s="87">
        <v>27531</v>
      </c>
      <c r="C33" s="34" t="s">
        <v>62</v>
      </c>
      <c r="D33" s="90" t="s">
        <v>63</v>
      </c>
      <c r="E33" s="91">
        <v>7.7600000000000002E-2</v>
      </c>
      <c r="F33" s="92">
        <v>2.7E-2</v>
      </c>
      <c r="G33" s="93">
        <v>47021</v>
      </c>
      <c r="H33" s="93">
        <v>47035</v>
      </c>
      <c r="I33" s="94">
        <v>2.7616438356164386</v>
      </c>
      <c r="J33" s="95">
        <v>100</v>
      </c>
      <c r="K33" s="96">
        <v>207.6</v>
      </c>
      <c r="L33" s="97">
        <v>0.91522157996146436</v>
      </c>
      <c r="M33" s="98">
        <v>110</v>
      </c>
      <c r="N33" s="99">
        <v>0.20189473684210529</v>
      </c>
      <c r="O33" s="100">
        <v>17760</v>
      </c>
      <c r="P33" s="101">
        <v>1</v>
      </c>
      <c r="Q33" s="102">
        <v>8000</v>
      </c>
      <c r="R33" s="101">
        <v>0.41299999999999998</v>
      </c>
      <c r="S33" s="35" t="s">
        <v>28</v>
      </c>
      <c r="T33" s="36"/>
      <c r="U33" s="37"/>
      <c r="V33" s="38" t="str">
        <f t="shared" si="0"/>
        <v>八方雲集一</v>
      </c>
      <c r="W33" s="39">
        <v>3.0000000000000001E-3</v>
      </c>
    </row>
    <row r="34" spans="1:23" s="5" customFormat="1" ht="17.149999999999999" customHeight="1" x14ac:dyDescent="0.4">
      <c r="A34" s="33" t="s">
        <v>98</v>
      </c>
      <c r="B34" s="87">
        <v>27532</v>
      </c>
      <c r="C34" s="34" t="s">
        <v>62</v>
      </c>
      <c r="D34" s="90" t="s">
        <v>63</v>
      </c>
      <c r="E34" s="91">
        <v>7.8400000000000011E-2</v>
      </c>
      <c r="F34" s="92">
        <v>2.7E-2</v>
      </c>
      <c r="G34" s="93">
        <v>47032</v>
      </c>
      <c r="H34" s="93">
        <v>47046</v>
      </c>
      <c r="I34" s="94">
        <v>2.7917808219178082</v>
      </c>
      <c r="J34" s="95">
        <v>100</v>
      </c>
      <c r="K34" s="96">
        <v>205.6</v>
      </c>
      <c r="L34" s="97">
        <v>0.92412451361867709</v>
      </c>
      <c r="M34" s="98">
        <v>110.2</v>
      </c>
      <c r="N34" s="99">
        <v>0.19247999999999996</v>
      </c>
      <c r="O34" s="100">
        <v>18040.000000000007</v>
      </c>
      <c r="P34" s="101">
        <v>1</v>
      </c>
      <c r="Q34" s="102">
        <v>2000</v>
      </c>
      <c r="R34" s="101">
        <v>0.41299999999999998</v>
      </c>
      <c r="S34" s="35" t="s">
        <v>28</v>
      </c>
      <c r="T34" s="36"/>
      <c r="U34" s="37"/>
      <c r="V34" s="38" t="str">
        <f t="shared" si="0"/>
        <v>八方雲集二</v>
      </c>
      <c r="W34" s="39">
        <v>3.0000000000000001E-3</v>
      </c>
    </row>
    <row r="35" spans="1:23" s="5" customFormat="1" ht="17.25" customHeight="1" x14ac:dyDescent="0.4">
      <c r="A35" s="33" t="s">
        <v>99</v>
      </c>
      <c r="B35" s="87">
        <v>30061</v>
      </c>
      <c r="C35" s="34" t="s">
        <v>62</v>
      </c>
      <c r="D35" s="90" t="s">
        <v>80</v>
      </c>
      <c r="E35" s="91">
        <v>3.5400000000000008E-2</v>
      </c>
      <c r="F35" s="92">
        <v>0.04</v>
      </c>
      <c r="G35" s="93">
        <v>46308</v>
      </c>
      <c r="H35" s="93">
        <v>46322</v>
      </c>
      <c r="I35" s="94">
        <v>0.80821917808219179</v>
      </c>
      <c r="J35" s="95">
        <v>100</v>
      </c>
      <c r="K35" s="96">
        <v>83.6</v>
      </c>
      <c r="L35" s="97">
        <v>1.549043062200957</v>
      </c>
      <c r="M35" s="98">
        <v>161</v>
      </c>
      <c r="N35" s="99">
        <v>3.9351351351351371E-2</v>
      </c>
      <c r="O35" s="100">
        <v>64540</v>
      </c>
      <c r="P35" s="101">
        <v>0.99990000000000001</v>
      </c>
      <c r="Q35" s="102">
        <v>10000</v>
      </c>
      <c r="R35" s="101">
        <v>0.41099999999999998</v>
      </c>
      <c r="S35" s="35" t="s">
        <v>28</v>
      </c>
      <c r="T35" s="36"/>
      <c r="U35" s="40"/>
      <c r="V35" s="38" t="str">
        <f t="shared" si="0"/>
        <v>晶豪科一</v>
      </c>
      <c r="W35" s="39">
        <v>3.0000000000000001E-3</v>
      </c>
    </row>
    <row r="36" spans="1:23" s="5" customFormat="1" ht="17.25" customHeight="1" x14ac:dyDescent="0.4">
      <c r="A36" s="33" t="s">
        <v>100</v>
      </c>
      <c r="B36" s="87">
        <v>30134</v>
      </c>
      <c r="C36" s="34" t="s">
        <v>101</v>
      </c>
      <c r="D36" s="90" t="s">
        <v>80</v>
      </c>
      <c r="E36" s="91">
        <v>4.2300000000000004E-2</v>
      </c>
      <c r="F36" s="92">
        <v>2.1999999999999999E-2</v>
      </c>
      <c r="G36" s="93">
        <v>46664</v>
      </c>
      <c r="H36" s="93">
        <v>46678</v>
      </c>
      <c r="I36" s="94">
        <v>1.7835616438356163</v>
      </c>
      <c r="J36" s="95">
        <v>100</v>
      </c>
      <c r="K36" s="96">
        <v>143.80000000000001</v>
      </c>
      <c r="L36" s="97">
        <v>0.90403337969401942</v>
      </c>
      <c r="M36" s="98">
        <v>129.25</v>
      </c>
      <c r="N36" s="99">
        <v>0.42970384615384616</v>
      </c>
      <c r="O36" s="100">
        <v>33480</v>
      </c>
      <c r="P36" s="101">
        <v>1</v>
      </c>
      <c r="Q36" s="102">
        <v>5000</v>
      </c>
      <c r="R36" s="101">
        <v>0.46100000000000002</v>
      </c>
      <c r="S36" s="35" t="s">
        <v>27</v>
      </c>
      <c r="T36" s="36"/>
      <c r="U36" s="40"/>
      <c r="V36" s="38" t="str">
        <f t="shared" si="0"/>
        <v>晟銘電四</v>
      </c>
      <c r="W36" s="39">
        <v>3.0000000000000001E-3</v>
      </c>
    </row>
    <row r="37" spans="1:23" s="5" customFormat="1" ht="17.25" customHeight="1" x14ac:dyDescent="0.4">
      <c r="A37" s="33" t="s">
        <v>102</v>
      </c>
      <c r="B37" s="87">
        <v>30371</v>
      </c>
      <c r="C37" s="34" t="s">
        <v>62</v>
      </c>
      <c r="D37" s="90" t="s">
        <v>63</v>
      </c>
      <c r="E37" s="91">
        <v>7.1000000000000008E-2</v>
      </c>
      <c r="F37" s="92">
        <v>2.4E-2</v>
      </c>
      <c r="G37" s="93">
        <v>47046</v>
      </c>
      <c r="H37" s="93">
        <v>47060</v>
      </c>
      <c r="I37" s="94">
        <v>2.8301369863013699</v>
      </c>
      <c r="J37" s="95">
        <v>100</v>
      </c>
      <c r="K37" s="96">
        <v>165.4</v>
      </c>
      <c r="L37" s="97">
        <v>1.3240628778718257</v>
      </c>
      <c r="M37" s="98">
        <v>142.75</v>
      </c>
      <c r="N37" s="99">
        <v>7.8121004566210128E-2</v>
      </c>
      <c r="O37" s="100">
        <v>49850</v>
      </c>
      <c r="P37" s="101">
        <v>1</v>
      </c>
      <c r="Q37" s="102">
        <v>40000</v>
      </c>
      <c r="R37" s="101">
        <v>0.63400000000000001</v>
      </c>
      <c r="S37" s="35" t="s">
        <v>28</v>
      </c>
      <c r="T37" s="36"/>
      <c r="U37" s="37"/>
      <c r="V37" s="38" t="str">
        <f t="shared" si="0"/>
        <v>欣興一</v>
      </c>
      <c r="W37" s="39">
        <v>3.0000000000000001E-3</v>
      </c>
    </row>
    <row r="38" spans="1:23" s="5" customFormat="1" ht="17.25" customHeight="1" x14ac:dyDescent="0.4">
      <c r="A38" s="33" t="s">
        <v>103</v>
      </c>
      <c r="B38" s="87">
        <v>30454</v>
      </c>
      <c r="C38" s="34" t="s">
        <v>62</v>
      </c>
      <c r="D38" s="90" t="s">
        <v>104</v>
      </c>
      <c r="E38" s="91">
        <v>5.2200000000000003E-2</v>
      </c>
      <c r="F38" s="92">
        <v>2.3E-2</v>
      </c>
      <c r="G38" s="93">
        <v>46793</v>
      </c>
      <c r="H38" s="93">
        <v>46807</v>
      </c>
      <c r="I38" s="94">
        <v>2.1369863013698631</v>
      </c>
      <c r="J38" s="95">
        <v>100</v>
      </c>
      <c r="K38" s="96">
        <v>118.2</v>
      </c>
      <c r="L38" s="97">
        <v>0.91370558375634514</v>
      </c>
      <c r="M38" s="98">
        <v>98.45</v>
      </c>
      <c r="N38" s="99">
        <v>7.7480555555555608E-2</v>
      </c>
      <c r="O38" s="100">
        <v>3670.0000000000032</v>
      </c>
      <c r="P38" s="101">
        <v>1</v>
      </c>
      <c r="Q38" s="102">
        <v>70000</v>
      </c>
      <c r="R38" s="101">
        <v>0.14199999999999999</v>
      </c>
      <c r="S38" s="35" t="s">
        <v>27</v>
      </c>
      <c r="T38" s="36"/>
      <c r="U38" s="40"/>
      <c r="V38" s="38" t="str">
        <f t="shared" si="0"/>
        <v>台灣大四</v>
      </c>
      <c r="W38" s="39">
        <v>3.0000000000000001E-3</v>
      </c>
    </row>
    <row r="39" spans="1:23" s="5" customFormat="1" ht="17.25" customHeight="1" x14ac:dyDescent="0.4">
      <c r="A39" s="33" t="s">
        <v>105</v>
      </c>
      <c r="B39" s="87">
        <v>30455</v>
      </c>
      <c r="C39" s="34" t="s">
        <v>62</v>
      </c>
      <c r="D39" s="90" t="s">
        <v>104</v>
      </c>
      <c r="E39" s="91">
        <v>5.2300000000000006E-2</v>
      </c>
      <c r="F39" s="92">
        <v>2.3E-2</v>
      </c>
      <c r="G39" s="93">
        <v>46794</v>
      </c>
      <c r="H39" s="93">
        <v>46808</v>
      </c>
      <c r="I39" s="94">
        <v>2.1397260273972605</v>
      </c>
      <c r="J39" s="95">
        <v>100</v>
      </c>
      <c r="K39" s="96">
        <v>111.3</v>
      </c>
      <c r="L39" s="97">
        <v>0.9703504043126685</v>
      </c>
      <c r="M39" s="98">
        <v>102.2</v>
      </c>
      <c r="N39" s="99">
        <v>5.3227777777777763E-2</v>
      </c>
      <c r="O39" s="100">
        <v>7430.0000000000036</v>
      </c>
      <c r="P39" s="101">
        <v>1</v>
      </c>
      <c r="Q39" s="102">
        <v>30000</v>
      </c>
      <c r="R39" s="101">
        <v>0.14199999999999999</v>
      </c>
      <c r="S39" s="35" t="s">
        <v>27</v>
      </c>
      <c r="T39" s="36"/>
      <c r="U39" s="40"/>
      <c r="V39" s="38" t="str">
        <f t="shared" si="0"/>
        <v>台灣大五</v>
      </c>
      <c r="W39" s="39">
        <v>3.0000000000000001E-3</v>
      </c>
    </row>
    <row r="40" spans="1:23" s="5" customFormat="1" ht="17.25" customHeight="1" x14ac:dyDescent="0.4">
      <c r="A40" s="33" t="s">
        <v>106</v>
      </c>
      <c r="B40" s="87">
        <v>30954</v>
      </c>
      <c r="C40" s="34" t="s">
        <v>107</v>
      </c>
      <c r="D40" s="90" t="s">
        <v>108</v>
      </c>
      <c r="E40" s="91">
        <v>3.04E-2</v>
      </c>
      <c r="F40" s="92">
        <v>2.4E-2</v>
      </c>
      <c r="G40" s="93">
        <v>46429</v>
      </c>
      <c r="H40" s="93">
        <v>46443</v>
      </c>
      <c r="I40" s="94">
        <v>1.1397260273972603</v>
      </c>
      <c r="J40" s="95">
        <v>100</v>
      </c>
      <c r="K40" s="96">
        <v>41.1</v>
      </c>
      <c r="L40" s="97">
        <v>0.71654501216545019</v>
      </c>
      <c r="M40" s="98">
        <v>107</v>
      </c>
      <c r="N40" s="99">
        <v>0.49327674023769097</v>
      </c>
      <c r="O40" s="100">
        <v>10040</v>
      </c>
      <c r="P40" s="101">
        <v>1</v>
      </c>
      <c r="Q40" s="102">
        <v>1500</v>
      </c>
      <c r="R40" s="101">
        <v>0.36099999999999999</v>
      </c>
      <c r="S40" s="35" t="s">
        <v>27</v>
      </c>
      <c r="T40" s="36"/>
      <c r="U40" s="40"/>
      <c r="V40" s="38" t="str">
        <f t="shared" si="0"/>
        <v>及成四</v>
      </c>
      <c r="W40" s="39">
        <v>3.0000000000000001E-3</v>
      </c>
    </row>
    <row r="41" spans="1:23" s="5" customFormat="1" ht="17.25" customHeight="1" x14ac:dyDescent="0.4">
      <c r="A41" s="33" t="s">
        <v>109</v>
      </c>
      <c r="B41" s="87">
        <v>31311</v>
      </c>
      <c r="C41" s="34" t="s">
        <v>62</v>
      </c>
      <c r="D41" s="90" t="s">
        <v>80</v>
      </c>
      <c r="E41" s="91">
        <v>8.0100000000000005E-2</v>
      </c>
      <c r="F41" s="92">
        <v>0.03</v>
      </c>
      <c r="G41" s="93">
        <v>46951</v>
      </c>
      <c r="H41" s="93">
        <v>46964</v>
      </c>
      <c r="I41" s="94">
        <v>2.5671232876712327</v>
      </c>
      <c r="J41" s="95">
        <v>100</v>
      </c>
      <c r="K41" s="96">
        <v>1736.5</v>
      </c>
      <c r="L41" s="97">
        <v>0.92427296285632021</v>
      </c>
      <c r="M41" s="98">
        <v>127.4</v>
      </c>
      <c r="N41" s="99">
        <v>0.37838068535825542</v>
      </c>
      <c r="O41" s="100">
        <v>35410.000000000007</v>
      </c>
      <c r="P41" s="101">
        <v>1</v>
      </c>
      <c r="Q41" s="102">
        <v>10000</v>
      </c>
      <c r="R41" s="101">
        <v>0.56200000000000006</v>
      </c>
      <c r="S41" s="35" t="s">
        <v>28</v>
      </c>
      <c r="T41" s="36"/>
      <c r="U41" s="37"/>
      <c r="V41" s="38" t="str">
        <f t="shared" si="0"/>
        <v>弘塑一</v>
      </c>
      <c r="W41" s="39">
        <v>3.0000000000000001E-3</v>
      </c>
    </row>
    <row r="42" spans="1:23" s="5" customFormat="1" ht="17.25" customHeight="1" x14ac:dyDescent="0.4">
      <c r="A42" s="33" t="s">
        <v>110</v>
      </c>
      <c r="B42" s="87">
        <v>31312</v>
      </c>
      <c r="C42" s="34" t="s">
        <v>62</v>
      </c>
      <c r="D42" s="90" t="s">
        <v>80</v>
      </c>
      <c r="E42" s="91">
        <v>8.0600000000000005E-2</v>
      </c>
      <c r="F42" s="92">
        <v>0.03</v>
      </c>
      <c r="G42" s="93">
        <v>46958</v>
      </c>
      <c r="H42" s="93">
        <v>46970</v>
      </c>
      <c r="I42" s="94">
        <v>2.5835616438356164</v>
      </c>
      <c r="J42" s="95">
        <v>100</v>
      </c>
      <c r="K42" s="96">
        <v>1626.6</v>
      </c>
      <c r="L42" s="97">
        <v>0.98672076724455915</v>
      </c>
      <c r="M42" s="98">
        <v>129.1</v>
      </c>
      <c r="N42" s="99">
        <v>0.30837420560747658</v>
      </c>
      <c r="O42" s="100">
        <v>37159.999999999993</v>
      </c>
      <c r="P42" s="101">
        <v>1</v>
      </c>
      <c r="Q42" s="102">
        <v>10000</v>
      </c>
      <c r="R42" s="101">
        <v>0.56200000000000006</v>
      </c>
      <c r="S42" s="35" t="s">
        <v>28</v>
      </c>
      <c r="T42" s="36"/>
      <c r="U42" s="37"/>
      <c r="V42" s="38" t="str">
        <f t="shared" si="0"/>
        <v>弘塑二</v>
      </c>
      <c r="W42" s="39">
        <v>3.0000000000000001E-3</v>
      </c>
    </row>
    <row r="43" spans="1:23" s="5" customFormat="1" ht="17.149999999999999" customHeight="1" x14ac:dyDescent="0.4">
      <c r="A43" s="33" t="s">
        <v>111</v>
      </c>
      <c r="B43" s="87">
        <v>33133</v>
      </c>
      <c r="C43" s="34" t="s">
        <v>92</v>
      </c>
      <c r="D43" s="90" t="s">
        <v>66</v>
      </c>
      <c r="E43" s="91">
        <v>4.4800000000000006E-2</v>
      </c>
      <c r="F43" s="92">
        <v>2.1999999999999999E-2</v>
      </c>
      <c r="G43" s="93">
        <v>46706</v>
      </c>
      <c r="H43" s="93">
        <v>46720</v>
      </c>
      <c r="I43" s="94">
        <v>1.8986301369863015</v>
      </c>
      <c r="J43" s="95">
        <v>100</v>
      </c>
      <c r="K43" s="96">
        <v>15.7</v>
      </c>
      <c r="L43" s="97">
        <v>0.94904458598726105</v>
      </c>
      <c r="M43" s="98">
        <v>114.9</v>
      </c>
      <c r="N43" s="99">
        <v>0.21069127516778538</v>
      </c>
      <c r="O43" s="100">
        <v>19380.000000000007</v>
      </c>
      <c r="P43" s="101">
        <v>0.98575000000000002</v>
      </c>
      <c r="Q43" s="102">
        <v>4000</v>
      </c>
      <c r="R43" s="101">
        <v>0.66100000000000003</v>
      </c>
      <c r="S43" s="35" t="s">
        <v>27</v>
      </c>
      <c r="T43" s="36"/>
      <c r="U43" s="37"/>
      <c r="V43" s="38" t="str">
        <f t="shared" ref="V43:V87" si="1">A43</f>
        <v>斐成三</v>
      </c>
      <c r="W43" s="39">
        <v>3.0000000000000001E-3</v>
      </c>
    </row>
    <row r="44" spans="1:23" s="5" customFormat="1" ht="17.149999999999999" customHeight="1" x14ac:dyDescent="0.4">
      <c r="A44" s="33" t="s">
        <v>112</v>
      </c>
      <c r="B44" s="87">
        <v>33245</v>
      </c>
      <c r="C44" s="34" t="s">
        <v>62</v>
      </c>
      <c r="D44" s="90" t="s">
        <v>63</v>
      </c>
      <c r="E44" s="91">
        <v>2.7199999999999998E-2</v>
      </c>
      <c r="F44" s="92">
        <v>2.5000000000000001E-2</v>
      </c>
      <c r="G44" s="93">
        <v>46587</v>
      </c>
      <c r="H44" s="93">
        <v>46599</v>
      </c>
      <c r="I44" s="94">
        <v>1.5671232876712329</v>
      </c>
      <c r="J44" s="95">
        <v>101.50749999999999</v>
      </c>
      <c r="K44" s="96">
        <v>734.4</v>
      </c>
      <c r="L44" s="97">
        <v>1.3616557734204793</v>
      </c>
      <c r="M44" s="98">
        <v>146</v>
      </c>
      <c r="N44" s="99">
        <v>7.2224000000000038E-2</v>
      </c>
      <c r="O44" s="100">
        <v>48720</v>
      </c>
      <c r="P44" s="101">
        <v>1</v>
      </c>
      <c r="Q44" s="102">
        <v>15000</v>
      </c>
      <c r="R44" s="101">
        <v>0.41699999999999998</v>
      </c>
      <c r="S44" s="35" t="s">
        <v>27</v>
      </c>
      <c r="T44" s="36"/>
      <c r="U44" s="37"/>
      <c r="V44" s="38" t="str">
        <f t="shared" si="1"/>
        <v>雙鴻五</v>
      </c>
      <c r="W44" s="39">
        <v>3.0000000000000001E-3</v>
      </c>
    </row>
    <row r="45" spans="1:23" s="5" customFormat="1" ht="17.25" customHeight="1" x14ac:dyDescent="0.4">
      <c r="A45" s="33" t="s">
        <v>113</v>
      </c>
      <c r="B45" s="87">
        <v>33571</v>
      </c>
      <c r="C45" s="34" t="s">
        <v>62</v>
      </c>
      <c r="D45" s="90" t="s">
        <v>63</v>
      </c>
      <c r="E45" s="91">
        <v>2.4299999999999999E-2</v>
      </c>
      <c r="F45" s="92">
        <v>2.5999999999999999E-2</v>
      </c>
      <c r="G45" s="93">
        <v>46314</v>
      </c>
      <c r="H45" s="93">
        <v>46326</v>
      </c>
      <c r="I45" s="94">
        <v>0.81917808219178079</v>
      </c>
      <c r="J45" s="95">
        <v>100</v>
      </c>
      <c r="K45" s="96">
        <v>107.4</v>
      </c>
      <c r="L45" s="97">
        <v>1.4897579143389199</v>
      </c>
      <c r="M45" s="98">
        <v>149</v>
      </c>
      <c r="N45" s="99">
        <v>1.6249999999995771E-4</v>
      </c>
      <c r="O45" s="100">
        <v>51430</v>
      </c>
      <c r="P45" s="101">
        <v>0.84918181818181815</v>
      </c>
      <c r="Q45" s="102">
        <v>11000</v>
      </c>
      <c r="R45" s="101">
        <v>0.51900000000000002</v>
      </c>
      <c r="S45" s="35" t="s">
        <v>27</v>
      </c>
      <c r="T45" s="36"/>
      <c r="U45" s="37"/>
      <c r="V45" s="38" t="str">
        <f t="shared" si="1"/>
        <v>臺慶科一</v>
      </c>
      <c r="W45" s="39">
        <v>3.0000000000000001E-3</v>
      </c>
    </row>
    <row r="46" spans="1:23" s="5" customFormat="1" ht="17.25" customHeight="1" x14ac:dyDescent="0.4">
      <c r="A46" s="33" t="s">
        <v>114</v>
      </c>
      <c r="B46" s="87">
        <v>33621</v>
      </c>
      <c r="C46" s="34" t="s">
        <v>115</v>
      </c>
      <c r="D46" s="90" t="s">
        <v>69</v>
      </c>
      <c r="E46" s="91">
        <v>2.9099999999999997E-2</v>
      </c>
      <c r="F46" s="92">
        <v>2.1999999999999999E-2</v>
      </c>
      <c r="G46" s="93">
        <v>46570</v>
      </c>
      <c r="H46" s="93">
        <v>46584</v>
      </c>
      <c r="I46" s="94">
        <v>1.526027397260274</v>
      </c>
      <c r="J46" s="95">
        <v>100.75</v>
      </c>
      <c r="K46" s="96">
        <v>251</v>
      </c>
      <c r="L46" s="97">
        <v>0.37091633466135454</v>
      </c>
      <c r="M46" s="98">
        <v>102</v>
      </c>
      <c r="N46" s="99">
        <v>1.7499462943071971</v>
      </c>
      <c r="O46" s="100">
        <v>4910</v>
      </c>
      <c r="P46" s="101">
        <v>0.99991666666666668</v>
      </c>
      <c r="Q46" s="102">
        <v>12000</v>
      </c>
      <c r="R46" s="101">
        <v>0.34100000000000003</v>
      </c>
      <c r="S46" s="35" t="s">
        <v>27</v>
      </c>
      <c r="T46" s="36"/>
      <c r="U46" s="37"/>
      <c r="V46" s="38" t="str">
        <f t="shared" si="1"/>
        <v>先進光一</v>
      </c>
      <c r="W46" s="39">
        <v>3.0000000000000001E-3</v>
      </c>
    </row>
    <row r="47" spans="1:23" s="5" customFormat="1" ht="17.25" customHeight="1" x14ac:dyDescent="0.4">
      <c r="A47" s="33" t="s">
        <v>30</v>
      </c>
      <c r="B47" s="87">
        <v>33763</v>
      </c>
      <c r="C47" s="34" t="s">
        <v>62</v>
      </c>
      <c r="D47" s="90" t="s">
        <v>63</v>
      </c>
      <c r="E47" s="91">
        <v>2.87E-2</v>
      </c>
      <c r="F47" s="92">
        <v>2.5000000000000001E-2</v>
      </c>
      <c r="G47" s="93">
        <v>46608</v>
      </c>
      <c r="H47" s="93">
        <v>46622</v>
      </c>
      <c r="I47" s="94">
        <v>1.6301369863013699</v>
      </c>
      <c r="J47" s="95">
        <v>101.51</v>
      </c>
      <c r="K47" s="96">
        <v>195.2</v>
      </c>
      <c r="L47" s="97">
        <v>1.0476434426229508</v>
      </c>
      <c r="M47" s="98">
        <v>128.65</v>
      </c>
      <c r="N47" s="99">
        <v>0.22799413202933991</v>
      </c>
      <c r="O47" s="100">
        <v>31520.000000000004</v>
      </c>
      <c r="P47" s="101">
        <v>1</v>
      </c>
      <c r="Q47" s="102">
        <v>8000</v>
      </c>
      <c r="R47" s="101">
        <v>0.48</v>
      </c>
      <c r="S47" s="35" t="s">
        <v>27</v>
      </c>
      <c r="T47" s="36"/>
      <c r="U47" s="37"/>
      <c r="V47" s="38" t="str">
        <f t="shared" si="1"/>
        <v>新日興三</v>
      </c>
      <c r="W47" s="39">
        <v>3.0000000000000001E-3</v>
      </c>
    </row>
    <row r="48" spans="1:23" s="5" customFormat="1" ht="17.25" customHeight="1" x14ac:dyDescent="0.4">
      <c r="A48" s="33" t="s">
        <v>116</v>
      </c>
      <c r="B48" s="87">
        <v>33881</v>
      </c>
      <c r="C48" s="34" t="s">
        <v>62</v>
      </c>
      <c r="D48" s="90" t="s">
        <v>63</v>
      </c>
      <c r="E48" s="91">
        <v>5.4700000000000006E-2</v>
      </c>
      <c r="F48" s="92">
        <v>2.8000000000000001E-2</v>
      </c>
      <c r="G48" s="93">
        <v>46686</v>
      </c>
      <c r="H48" s="93">
        <v>46700</v>
      </c>
      <c r="I48" s="94">
        <v>1.8438356164383563</v>
      </c>
      <c r="J48" s="95">
        <v>100</v>
      </c>
      <c r="K48" s="96">
        <v>62.8</v>
      </c>
      <c r="L48" s="97">
        <v>0.97929936305732501</v>
      </c>
      <c r="M48" s="98">
        <v>103.85</v>
      </c>
      <c r="N48" s="99">
        <v>6.0452032520325008E-2</v>
      </c>
      <c r="O48" s="100">
        <v>9319.9999999999945</v>
      </c>
      <c r="P48" s="101">
        <v>0.99985714285714289</v>
      </c>
      <c r="Q48" s="102">
        <v>7000</v>
      </c>
      <c r="R48" s="101">
        <v>5.5E-2</v>
      </c>
      <c r="S48" s="35" t="s">
        <v>27</v>
      </c>
      <c r="T48" s="36"/>
      <c r="U48" s="37"/>
      <c r="V48" s="38" t="str">
        <f t="shared" si="1"/>
        <v>崇越電一</v>
      </c>
      <c r="W48" s="39">
        <v>3.0000000000000001E-3</v>
      </c>
    </row>
    <row r="49" spans="1:23" s="5" customFormat="1" ht="17.25" customHeight="1" x14ac:dyDescent="0.4">
      <c r="A49" s="33" t="s">
        <v>117</v>
      </c>
      <c r="B49" s="87">
        <v>33902</v>
      </c>
      <c r="C49" s="34" t="s">
        <v>118</v>
      </c>
      <c r="D49" s="90" t="s">
        <v>69</v>
      </c>
      <c r="E49" s="91">
        <v>4.9900000000000007E-2</v>
      </c>
      <c r="F49" s="92">
        <v>2.1999999999999999E-2</v>
      </c>
      <c r="G49" s="93">
        <v>46790</v>
      </c>
      <c r="H49" s="93">
        <v>46804</v>
      </c>
      <c r="I49" s="94">
        <v>2.128767123287671</v>
      </c>
      <c r="J49" s="95">
        <v>100</v>
      </c>
      <c r="K49" s="96">
        <v>24.2</v>
      </c>
      <c r="L49" s="97">
        <v>1.0330578512396695</v>
      </c>
      <c r="M49" s="98">
        <v>125</v>
      </c>
      <c r="N49" s="99">
        <v>0.20999999999999983</v>
      </c>
      <c r="O49" s="100">
        <v>29990</v>
      </c>
      <c r="P49" s="101">
        <v>1</v>
      </c>
      <c r="Q49" s="102">
        <v>2000</v>
      </c>
      <c r="R49" s="101">
        <v>0.26200000000000001</v>
      </c>
      <c r="S49" s="35" t="s">
        <v>27</v>
      </c>
      <c r="T49" s="36"/>
      <c r="U49" s="37"/>
      <c r="V49" s="38" t="str">
        <f t="shared" si="1"/>
        <v>旭軟二</v>
      </c>
      <c r="W49" s="39">
        <v>3.0000000000000001E-3</v>
      </c>
    </row>
    <row r="50" spans="1:23" s="5" customFormat="1" ht="17.25" customHeight="1" x14ac:dyDescent="0.4">
      <c r="A50" s="86" t="s">
        <v>119</v>
      </c>
      <c r="B50" s="88">
        <v>34163</v>
      </c>
      <c r="C50" s="34" t="s">
        <v>62</v>
      </c>
      <c r="D50" s="90" t="s">
        <v>80</v>
      </c>
      <c r="E50" s="91">
        <v>3.2100000000000004E-2</v>
      </c>
      <c r="F50" s="92">
        <v>2.75E-2</v>
      </c>
      <c r="G50" s="93">
        <v>46398</v>
      </c>
      <c r="H50" s="103">
        <v>46412</v>
      </c>
      <c r="I50" s="94">
        <v>1.0547945205479452</v>
      </c>
      <c r="J50" s="95">
        <v>100</v>
      </c>
      <c r="K50" s="96">
        <v>127.1</v>
      </c>
      <c r="L50" s="97">
        <v>1.1801730920535012</v>
      </c>
      <c r="M50" s="98">
        <v>123</v>
      </c>
      <c r="N50" s="99">
        <v>4.2220000000000014E-2</v>
      </c>
      <c r="O50" s="100">
        <v>26210</v>
      </c>
      <c r="P50" s="101">
        <v>0.83960000000000001</v>
      </c>
      <c r="Q50" s="102">
        <v>5000</v>
      </c>
      <c r="R50" s="101">
        <v>0.37</v>
      </c>
      <c r="S50" s="35" t="s">
        <v>28</v>
      </c>
      <c r="T50" s="36" t="s">
        <v>31</v>
      </c>
      <c r="U50" s="37"/>
      <c r="V50" s="38" t="str">
        <f t="shared" si="1"/>
        <v>融程電三</v>
      </c>
      <c r="W50" s="39">
        <v>3.0000000000000001E-3</v>
      </c>
    </row>
    <row r="51" spans="1:23" s="5" customFormat="1" ht="17.25" customHeight="1" x14ac:dyDescent="0.4">
      <c r="A51" s="33" t="s">
        <v>120</v>
      </c>
      <c r="B51" s="87">
        <v>34834</v>
      </c>
      <c r="C51" s="34" t="s">
        <v>62</v>
      </c>
      <c r="D51" s="90" t="s">
        <v>71</v>
      </c>
      <c r="E51" s="91">
        <v>5.8100000000000006E-2</v>
      </c>
      <c r="F51" s="92">
        <v>0.04</v>
      </c>
      <c r="G51" s="93">
        <v>46517</v>
      </c>
      <c r="H51" s="93">
        <v>46529</v>
      </c>
      <c r="I51" s="94">
        <v>1.3753424657534246</v>
      </c>
      <c r="J51" s="95">
        <v>100</v>
      </c>
      <c r="K51" s="96">
        <v>136.1</v>
      </c>
      <c r="L51" s="97">
        <v>0.68552534900808226</v>
      </c>
      <c r="M51" s="98">
        <v>104</v>
      </c>
      <c r="N51" s="99">
        <v>0.51708467309753492</v>
      </c>
      <c r="O51" s="100">
        <v>9810</v>
      </c>
      <c r="P51" s="101">
        <v>1</v>
      </c>
      <c r="Q51" s="102">
        <v>2000</v>
      </c>
      <c r="R51" s="101">
        <v>0.30399999999999999</v>
      </c>
      <c r="S51" s="35" t="s">
        <v>28</v>
      </c>
      <c r="T51" s="36"/>
      <c r="U51" s="37"/>
      <c r="V51" s="38" t="str">
        <f t="shared" si="1"/>
        <v>力致四</v>
      </c>
      <c r="W51" s="39">
        <v>3.0000000000000001E-3</v>
      </c>
    </row>
    <row r="52" spans="1:23" s="5" customFormat="1" ht="17.25" customHeight="1" x14ac:dyDescent="0.4">
      <c r="A52" s="33" t="s">
        <v>121</v>
      </c>
      <c r="B52" s="87">
        <v>35161</v>
      </c>
      <c r="C52" s="34" t="s">
        <v>122</v>
      </c>
      <c r="D52" s="90" t="s">
        <v>69</v>
      </c>
      <c r="E52" s="91">
        <v>4.2300000000000004E-2</v>
      </c>
      <c r="F52" s="92">
        <v>2.1999999999999999E-2</v>
      </c>
      <c r="G52" s="93">
        <v>46664</v>
      </c>
      <c r="H52" s="93">
        <v>46678</v>
      </c>
      <c r="I52" s="94">
        <v>1.7835616438356163</v>
      </c>
      <c r="J52" s="95">
        <v>100</v>
      </c>
      <c r="K52" s="96">
        <v>25.81</v>
      </c>
      <c r="L52" s="97">
        <v>0.82913599380085234</v>
      </c>
      <c r="M52" s="98">
        <v>109</v>
      </c>
      <c r="N52" s="99">
        <v>0.31462149532710293</v>
      </c>
      <c r="O52" s="100">
        <v>13230</v>
      </c>
      <c r="P52" s="101">
        <v>1</v>
      </c>
      <c r="Q52" s="102">
        <v>3500</v>
      </c>
      <c r="R52" s="101">
        <v>0.16500000000000001</v>
      </c>
      <c r="S52" s="35" t="s">
        <v>27</v>
      </c>
      <c r="T52" s="36"/>
      <c r="U52" s="37"/>
      <c r="V52" s="38" t="str">
        <f t="shared" si="1"/>
        <v>亞帝歐一</v>
      </c>
      <c r="W52" s="39">
        <v>3.0000000000000001E-3</v>
      </c>
    </row>
    <row r="53" spans="1:23" s="5" customFormat="1" ht="17.25" customHeight="1" x14ac:dyDescent="0.4">
      <c r="A53" s="33" t="s">
        <v>123</v>
      </c>
      <c r="B53" s="87">
        <v>35181</v>
      </c>
      <c r="C53" s="34" t="s">
        <v>124</v>
      </c>
      <c r="D53" s="90" t="s">
        <v>66</v>
      </c>
      <c r="E53" s="91">
        <v>3.8400000000000004E-2</v>
      </c>
      <c r="F53" s="92">
        <v>2.1999999999999999E-2</v>
      </c>
      <c r="G53" s="93">
        <v>46601</v>
      </c>
      <c r="H53" s="93">
        <v>46614</v>
      </c>
      <c r="I53" s="94">
        <v>1.6082191780821917</v>
      </c>
      <c r="J53" s="95">
        <v>100</v>
      </c>
      <c r="K53" s="96">
        <v>35</v>
      </c>
      <c r="L53" s="97">
        <v>0.61571428571428577</v>
      </c>
      <c r="M53" s="98">
        <v>104</v>
      </c>
      <c r="N53" s="99">
        <v>0.68909512761020864</v>
      </c>
      <c r="O53" s="100">
        <v>7840</v>
      </c>
      <c r="P53" s="101">
        <v>1</v>
      </c>
      <c r="Q53" s="102">
        <v>3000</v>
      </c>
      <c r="R53" s="101">
        <v>0.31900000000000001</v>
      </c>
      <c r="S53" s="35" t="s">
        <v>27</v>
      </c>
      <c r="T53" s="36"/>
      <c r="U53" s="37"/>
      <c r="V53" s="38" t="str">
        <f t="shared" si="1"/>
        <v>柏騰一</v>
      </c>
      <c r="W53" s="39">
        <v>3.0000000000000001E-3</v>
      </c>
    </row>
    <row r="54" spans="1:23" s="5" customFormat="1" ht="17.25" customHeight="1" x14ac:dyDescent="0.4">
      <c r="A54" s="33" t="s">
        <v>125</v>
      </c>
      <c r="B54" s="87">
        <v>35221</v>
      </c>
      <c r="C54" s="34" t="s">
        <v>126</v>
      </c>
      <c r="D54" s="90" t="s">
        <v>108</v>
      </c>
      <c r="E54" s="91">
        <v>8.8999999999999999E-3</v>
      </c>
      <c r="F54" s="92">
        <v>2.1999999999999999E-2</v>
      </c>
      <c r="G54" s="93">
        <v>46360</v>
      </c>
      <c r="H54" s="93">
        <v>46374</v>
      </c>
      <c r="I54" s="94">
        <v>0.9506849315068493</v>
      </c>
      <c r="J54" s="95">
        <v>101.50749999999999</v>
      </c>
      <c r="K54" s="96">
        <v>18.600000000000001</v>
      </c>
      <c r="L54" s="97">
        <v>1.0188172043010753</v>
      </c>
      <c r="M54" s="98">
        <v>112</v>
      </c>
      <c r="N54" s="99">
        <v>9.9313984168865499E-2</v>
      </c>
      <c r="O54" s="100">
        <v>12889.999999999998</v>
      </c>
      <c r="P54" s="101">
        <v>0.82066666666666666</v>
      </c>
      <c r="Q54" s="102">
        <v>1500</v>
      </c>
      <c r="R54" s="101">
        <v>0.186</v>
      </c>
      <c r="S54" s="35" t="s">
        <v>27</v>
      </c>
      <c r="T54" s="36"/>
      <c r="U54" s="37"/>
      <c r="V54" s="38" t="str">
        <f t="shared" si="1"/>
        <v>御嵿一</v>
      </c>
      <c r="W54" s="39">
        <v>3.0000000000000001E-3</v>
      </c>
    </row>
    <row r="55" spans="1:23" s="5" customFormat="1" ht="17.25" customHeight="1" x14ac:dyDescent="0.4">
      <c r="A55" s="33" t="s">
        <v>127</v>
      </c>
      <c r="B55" s="87">
        <v>35266</v>
      </c>
      <c r="C55" s="34" t="s">
        <v>62</v>
      </c>
      <c r="D55" s="90" t="s">
        <v>80</v>
      </c>
      <c r="E55" s="91">
        <v>3.5000000000000003E-2</v>
      </c>
      <c r="F55" s="92">
        <v>0.03</v>
      </c>
      <c r="G55" s="93">
        <v>46402</v>
      </c>
      <c r="H55" s="93">
        <v>46416</v>
      </c>
      <c r="I55" s="94">
        <v>1.0657534246575342</v>
      </c>
      <c r="J55" s="95">
        <v>100</v>
      </c>
      <c r="K55" s="96">
        <v>200.3</v>
      </c>
      <c r="L55" s="97">
        <v>1.2131802296555168</v>
      </c>
      <c r="M55" s="98">
        <v>131</v>
      </c>
      <c r="N55" s="99">
        <v>7.9806584362139874E-2</v>
      </c>
      <c r="O55" s="100">
        <v>34500</v>
      </c>
      <c r="P55" s="101">
        <v>0.78749999999999998</v>
      </c>
      <c r="Q55" s="102">
        <v>10000</v>
      </c>
      <c r="R55" s="101">
        <v>0.251</v>
      </c>
      <c r="S55" s="35" t="s">
        <v>28</v>
      </c>
      <c r="T55" s="36"/>
      <c r="U55" s="37"/>
      <c r="V55" s="38" t="str">
        <f t="shared" si="1"/>
        <v>凡甲六</v>
      </c>
      <c r="W55" s="39">
        <v>3.0000000000000001E-3</v>
      </c>
    </row>
    <row r="56" spans="1:23" s="5" customFormat="1" ht="17.25" customHeight="1" x14ac:dyDescent="0.4">
      <c r="A56" s="33" t="s">
        <v>128</v>
      </c>
      <c r="B56" s="87">
        <v>35267</v>
      </c>
      <c r="C56" s="34" t="s">
        <v>62</v>
      </c>
      <c r="D56" s="90" t="s">
        <v>80</v>
      </c>
      <c r="E56" s="91">
        <v>7.9600000000000004E-2</v>
      </c>
      <c r="F56" s="92">
        <v>0.03</v>
      </c>
      <c r="G56" s="93">
        <v>46944</v>
      </c>
      <c r="H56" s="93">
        <v>46958</v>
      </c>
      <c r="I56" s="94">
        <v>2.5506849315068494</v>
      </c>
      <c r="J56" s="95">
        <v>100</v>
      </c>
      <c r="K56" s="96">
        <v>269.60000000000002</v>
      </c>
      <c r="L56" s="97">
        <v>0.90133531157270008</v>
      </c>
      <c r="M56" s="98">
        <v>114.75</v>
      </c>
      <c r="N56" s="99">
        <v>0.27311111111111136</v>
      </c>
      <c r="O56" s="100">
        <v>22710</v>
      </c>
      <c r="P56" s="101">
        <v>1</v>
      </c>
      <c r="Q56" s="102">
        <v>15000</v>
      </c>
      <c r="R56" s="101">
        <v>0.251</v>
      </c>
      <c r="S56" s="35" t="s">
        <v>28</v>
      </c>
      <c r="T56" s="36"/>
      <c r="U56" s="37"/>
      <c r="V56" s="38" t="str">
        <f t="shared" si="1"/>
        <v>凡甲七</v>
      </c>
      <c r="W56" s="39">
        <v>3.0000000000000001E-3</v>
      </c>
    </row>
    <row r="57" spans="1:23" s="5" customFormat="1" ht="17.25" customHeight="1" x14ac:dyDescent="0.4">
      <c r="A57" s="41" t="s">
        <v>129</v>
      </c>
      <c r="B57" s="89">
        <v>35431</v>
      </c>
      <c r="C57" s="42" t="s">
        <v>130</v>
      </c>
      <c r="D57" s="104" t="s">
        <v>71</v>
      </c>
      <c r="E57" s="105">
        <v>6.8500000000000005E-2</v>
      </c>
      <c r="F57" s="106">
        <v>2.1999999999999999E-2</v>
      </c>
      <c r="G57" s="107">
        <v>47099</v>
      </c>
      <c r="H57" s="107">
        <v>47113</v>
      </c>
      <c r="I57" s="108">
        <v>2.9753424657534246</v>
      </c>
      <c r="J57" s="109">
        <v>100</v>
      </c>
      <c r="K57" s="110">
        <v>46.3</v>
      </c>
      <c r="L57" s="111">
        <v>0.9211663066954644</v>
      </c>
      <c r="M57" s="112">
        <v>118</v>
      </c>
      <c r="N57" s="113">
        <v>0.28098475967174674</v>
      </c>
      <c r="O57" s="114">
        <v>24850</v>
      </c>
      <c r="P57" s="115">
        <v>1</v>
      </c>
      <c r="Q57" s="116">
        <v>4000</v>
      </c>
      <c r="R57" s="115">
        <v>0.54200000000000004</v>
      </c>
      <c r="S57" s="43" t="s">
        <v>28</v>
      </c>
      <c r="T57" s="44" t="s">
        <v>32</v>
      </c>
      <c r="U57" s="45" t="s">
        <v>33</v>
      </c>
      <c r="V57" s="38" t="str">
        <f t="shared" si="1"/>
        <v>州巧一</v>
      </c>
      <c r="W57" s="39">
        <v>3.0000000000000001E-3</v>
      </c>
    </row>
    <row r="58" spans="1:23" s="5" customFormat="1" ht="17.25" customHeight="1" x14ac:dyDescent="0.4">
      <c r="A58" s="33" t="s">
        <v>131</v>
      </c>
      <c r="B58" s="87">
        <v>35482</v>
      </c>
      <c r="C58" s="34" t="s">
        <v>62</v>
      </c>
      <c r="D58" s="90" t="s">
        <v>63</v>
      </c>
      <c r="E58" s="91">
        <v>2.93E-2</v>
      </c>
      <c r="F58" s="92">
        <v>2.5999999999999999E-2</v>
      </c>
      <c r="G58" s="93">
        <v>46381</v>
      </c>
      <c r="H58" s="93">
        <v>46395</v>
      </c>
      <c r="I58" s="94">
        <v>1.0082191780821919</v>
      </c>
      <c r="J58" s="95">
        <v>100</v>
      </c>
      <c r="K58" s="96">
        <v>186</v>
      </c>
      <c r="L58" s="97">
        <v>0.4838709677419355</v>
      </c>
      <c r="M58" s="98">
        <v>103.8</v>
      </c>
      <c r="N58" s="99">
        <v>1.1451999999999998</v>
      </c>
      <c r="O58" s="100">
        <v>6729.9999999999973</v>
      </c>
      <c r="P58" s="101">
        <v>0.99987499999999996</v>
      </c>
      <c r="Q58" s="102">
        <v>8000</v>
      </c>
      <c r="R58" s="101">
        <v>0.34599999999999997</v>
      </c>
      <c r="S58" s="35" t="s">
        <v>28</v>
      </c>
      <c r="T58" s="36"/>
      <c r="U58" s="37"/>
      <c r="V58" s="38" t="str">
        <f t="shared" si="1"/>
        <v>兆利二</v>
      </c>
      <c r="W58" s="39">
        <v>3.0000000000000001E-3</v>
      </c>
    </row>
    <row r="59" spans="1:23" s="5" customFormat="1" ht="17.25" customHeight="1" x14ac:dyDescent="0.4">
      <c r="A59" s="33" t="s">
        <v>132</v>
      </c>
      <c r="B59" s="87">
        <v>35483</v>
      </c>
      <c r="C59" s="34" t="s">
        <v>62</v>
      </c>
      <c r="D59" s="90" t="s">
        <v>63</v>
      </c>
      <c r="E59" s="91">
        <v>5.6500000000000009E-2</v>
      </c>
      <c r="F59" s="92">
        <v>2.5000000000000001E-2</v>
      </c>
      <c r="G59" s="93">
        <v>46794</v>
      </c>
      <c r="H59" s="93">
        <v>46808</v>
      </c>
      <c r="I59" s="94">
        <v>2.1397260273972605</v>
      </c>
      <c r="J59" s="95">
        <v>100</v>
      </c>
      <c r="K59" s="96">
        <v>162.80000000000001</v>
      </c>
      <c r="L59" s="97">
        <v>0.55282555282555279</v>
      </c>
      <c r="M59" s="98">
        <v>101.55</v>
      </c>
      <c r="N59" s="99">
        <v>0.83692666666666671</v>
      </c>
      <c r="O59" s="100">
        <v>7199.9999999999982</v>
      </c>
      <c r="P59" s="101">
        <v>1</v>
      </c>
      <c r="Q59" s="102">
        <v>15000</v>
      </c>
      <c r="R59" s="101">
        <v>0.34599999999999997</v>
      </c>
      <c r="S59" s="35" t="s">
        <v>28</v>
      </c>
      <c r="T59" s="36"/>
      <c r="U59" s="37"/>
      <c r="V59" s="38" t="str">
        <f t="shared" si="1"/>
        <v>兆利三</v>
      </c>
      <c r="W59" s="39">
        <v>3.0000000000000001E-3</v>
      </c>
    </row>
    <row r="60" spans="1:23" s="5" customFormat="1" ht="17.25" customHeight="1" x14ac:dyDescent="0.4">
      <c r="A60" s="33" t="s">
        <v>133</v>
      </c>
      <c r="B60" s="87">
        <v>35513</v>
      </c>
      <c r="C60" s="34" t="s">
        <v>62</v>
      </c>
      <c r="D60" s="90" t="s">
        <v>80</v>
      </c>
      <c r="E60" s="91">
        <v>8.7500000000000008E-2</v>
      </c>
      <c r="F60" s="92">
        <v>0.03</v>
      </c>
      <c r="G60" s="93">
        <v>47042</v>
      </c>
      <c r="H60" s="93">
        <v>47054</v>
      </c>
      <c r="I60" s="94">
        <v>2.8136986301369862</v>
      </c>
      <c r="J60" s="95">
        <v>100</v>
      </c>
      <c r="K60" s="96">
        <v>173</v>
      </c>
      <c r="L60" s="97">
        <v>1.199421965317919</v>
      </c>
      <c r="M60" s="98">
        <v>138</v>
      </c>
      <c r="N60" s="99">
        <v>0.15055421686747</v>
      </c>
      <c r="O60" s="100">
        <v>46750</v>
      </c>
      <c r="P60" s="101">
        <v>1</v>
      </c>
      <c r="Q60" s="102">
        <v>5000</v>
      </c>
      <c r="R60" s="101">
        <v>0.49</v>
      </c>
      <c r="S60" s="35" t="s">
        <v>28</v>
      </c>
      <c r="T60" s="36"/>
      <c r="U60" s="37"/>
      <c r="V60" s="38" t="str">
        <f t="shared" si="1"/>
        <v>世禾三</v>
      </c>
      <c r="W60" s="39">
        <v>3.0000000000000001E-3</v>
      </c>
    </row>
    <row r="61" spans="1:23" s="5" customFormat="1" ht="17.25" customHeight="1" x14ac:dyDescent="0.4">
      <c r="A61" s="33" t="s">
        <v>134</v>
      </c>
      <c r="B61" s="87">
        <v>35831</v>
      </c>
      <c r="C61" s="34" t="s">
        <v>62</v>
      </c>
      <c r="D61" s="90" t="s">
        <v>63</v>
      </c>
      <c r="E61" s="91">
        <v>1.4800000000000001E-2</v>
      </c>
      <c r="F61" s="92">
        <v>2.8000000000000001E-2</v>
      </c>
      <c r="G61" s="93">
        <v>46167</v>
      </c>
      <c r="H61" s="93">
        <v>46180</v>
      </c>
      <c r="I61" s="94">
        <v>0.41917808219178082</v>
      </c>
      <c r="J61" s="95">
        <v>100</v>
      </c>
      <c r="K61" s="96">
        <v>349.3</v>
      </c>
      <c r="L61" s="97">
        <v>0.97051245347838533</v>
      </c>
      <c r="M61" s="98">
        <v>118</v>
      </c>
      <c r="N61" s="99">
        <v>0.2158525073746313</v>
      </c>
      <c r="O61" s="100">
        <v>19480</v>
      </c>
      <c r="P61" s="101">
        <v>1</v>
      </c>
      <c r="Q61" s="102">
        <v>2000</v>
      </c>
      <c r="R61" s="101">
        <v>0.34699999999999998</v>
      </c>
      <c r="S61" s="35" t="s">
        <v>28</v>
      </c>
      <c r="T61" s="36"/>
      <c r="U61" s="37"/>
      <c r="V61" s="38" t="str">
        <f t="shared" si="1"/>
        <v>辛耘一</v>
      </c>
      <c r="W61" s="39">
        <v>3.0000000000000001E-3</v>
      </c>
    </row>
    <row r="62" spans="1:23" s="5" customFormat="1" ht="17.25" customHeight="1" x14ac:dyDescent="0.4">
      <c r="A62" s="33" t="s">
        <v>34</v>
      </c>
      <c r="B62" s="87">
        <v>35832</v>
      </c>
      <c r="C62" s="34" t="s">
        <v>62</v>
      </c>
      <c r="D62" s="90" t="s">
        <v>63</v>
      </c>
      <c r="E62" s="91">
        <v>1.5699999999999999E-2</v>
      </c>
      <c r="F62" s="92">
        <v>2.8000000000000001E-2</v>
      </c>
      <c r="G62" s="93">
        <v>46178</v>
      </c>
      <c r="H62" s="93">
        <v>46192</v>
      </c>
      <c r="I62" s="94">
        <v>0.45205479452054792</v>
      </c>
      <c r="J62" s="95">
        <v>100</v>
      </c>
      <c r="K62" s="96">
        <v>337.4</v>
      </c>
      <c r="L62" s="97">
        <v>1.004742145820984</v>
      </c>
      <c r="M62" s="98">
        <v>122.8</v>
      </c>
      <c r="N62" s="99">
        <v>0.22220412979351031</v>
      </c>
      <c r="O62" s="100">
        <v>24369.999999999996</v>
      </c>
      <c r="P62" s="101">
        <v>0.99890000000000001</v>
      </c>
      <c r="Q62" s="102">
        <v>10000</v>
      </c>
      <c r="R62" s="101">
        <v>0.34699999999999998</v>
      </c>
      <c r="S62" s="35" t="s">
        <v>28</v>
      </c>
      <c r="T62" s="36"/>
      <c r="U62" s="37"/>
      <c r="V62" s="38" t="str">
        <f t="shared" si="1"/>
        <v>辛耘二</v>
      </c>
      <c r="W62" s="39">
        <v>3.0000000000000001E-3</v>
      </c>
    </row>
    <row r="63" spans="1:23" s="5" customFormat="1" ht="17.25" customHeight="1" x14ac:dyDescent="0.4">
      <c r="A63" s="33" t="s">
        <v>135</v>
      </c>
      <c r="B63" s="87">
        <v>35871</v>
      </c>
      <c r="C63" s="34" t="s">
        <v>62</v>
      </c>
      <c r="D63" s="90" t="s">
        <v>63</v>
      </c>
      <c r="E63" s="91">
        <v>1.5300000000000001E-2</v>
      </c>
      <c r="F63" s="92">
        <v>2.7E-2</v>
      </c>
      <c r="G63" s="93">
        <v>46181</v>
      </c>
      <c r="H63" s="93">
        <v>46193</v>
      </c>
      <c r="I63" s="94">
        <v>0.45479452054794522</v>
      </c>
      <c r="J63" s="95">
        <v>100</v>
      </c>
      <c r="K63" s="96">
        <v>192</v>
      </c>
      <c r="L63" s="97">
        <v>1</v>
      </c>
      <c r="M63" s="98">
        <v>118</v>
      </c>
      <c r="N63" s="99">
        <v>0.18</v>
      </c>
      <c r="O63" s="100">
        <v>19530</v>
      </c>
      <c r="P63" s="101">
        <v>0.75116666666666665</v>
      </c>
      <c r="Q63" s="102">
        <v>6000</v>
      </c>
      <c r="R63" s="101">
        <v>0.39100000000000001</v>
      </c>
      <c r="S63" s="35" t="s">
        <v>28</v>
      </c>
      <c r="T63" s="36"/>
      <c r="U63" s="37"/>
      <c r="V63" s="38" t="str">
        <f t="shared" si="1"/>
        <v>閎康一</v>
      </c>
      <c r="W63" s="39">
        <v>3.0000000000000001E-3</v>
      </c>
    </row>
    <row r="64" spans="1:23" s="5" customFormat="1" ht="17.25" customHeight="1" x14ac:dyDescent="0.4">
      <c r="A64" s="33" t="s">
        <v>136</v>
      </c>
      <c r="B64" s="87">
        <v>36173</v>
      </c>
      <c r="C64" s="34" t="s">
        <v>62</v>
      </c>
      <c r="D64" s="90" t="s">
        <v>63</v>
      </c>
      <c r="E64" s="91">
        <v>7.1600000000000011E-2</v>
      </c>
      <c r="F64" s="92">
        <v>2.8000000000000001E-2</v>
      </c>
      <c r="G64" s="93">
        <v>46906</v>
      </c>
      <c r="H64" s="93">
        <v>46920</v>
      </c>
      <c r="I64" s="94">
        <v>2.4465753424657533</v>
      </c>
      <c r="J64" s="95">
        <v>100</v>
      </c>
      <c r="K64" s="96">
        <v>287.3</v>
      </c>
      <c r="L64" s="97">
        <v>0.72572224155934562</v>
      </c>
      <c r="M64" s="98">
        <v>108</v>
      </c>
      <c r="N64" s="99">
        <v>0.48817266187050362</v>
      </c>
      <c r="O64" s="100">
        <v>15160.000000000002</v>
      </c>
      <c r="P64" s="101">
        <v>1</v>
      </c>
      <c r="Q64" s="102">
        <v>15000</v>
      </c>
      <c r="R64" s="101">
        <v>0.25600000000000001</v>
      </c>
      <c r="S64" s="35" t="s">
        <v>28</v>
      </c>
      <c r="T64" s="36"/>
      <c r="U64" s="37"/>
      <c r="V64" s="38" t="str">
        <f t="shared" si="1"/>
        <v>碩天三</v>
      </c>
      <c r="W64" s="39">
        <v>3.0000000000000001E-3</v>
      </c>
    </row>
    <row r="65" spans="1:23" s="5" customFormat="1" ht="17.25" customHeight="1" x14ac:dyDescent="0.4">
      <c r="A65" s="33" t="s">
        <v>137</v>
      </c>
      <c r="B65" s="87">
        <v>36804</v>
      </c>
      <c r="C65" s="34" t="s">
        <v>62</v>
      </c>
      <c r="D65" s="90" t="s">
        <v>80</v>
      </c>
      <c r="E65" s="91">
        <v>2.6599999999999999E-2</v>
      </c>
      <c r="F65" s="92">
        <v>0.03</v>
      </c>
      <c r="G65" s="93">
        <v>46300</v>
      </c>
      <c r="H65" s="93">
        <v>46313</v>
      </c>
      <c r="I65" s="94">
        <v>0.78356164383561644</v>
      </c>
      <c r="J65" s="95">
        <v>100</v>
      </c>
      <c r="K65" s="96">
        <v>354</v>
      </c>
      <c r="L65" s="97">
        <v>1.0480225988700564</v>
      </c>
      <c r="M65" s="98">
        <v>124.75</v>
      </c>
      <c r="N65" s="99">
        <v>0.1903369272237197</v>
      </c>
      <c r="O65" s="100">
        <v>27410</v>
      </c>
      <c r="P65" s="101">
        <v>0.35610000000000003</v>
      </c>
      <c r="Q65" s="102">
        <v>10000</v>
      </c>
      <c r="R65" s="101">
        <v>0.36599999999999999</v>
      </c>
      <c r="S65" s="35" t="s">
        <v>28</v>
      </c>
      <c r="T65" s="36"/>
      <c r="U65" s="37"/>
      <c r="V65" s="38" t="str">
        <f t="shared" si="1"/>
        <v>家登四</v>
      </c>
      <c r="W65" s="39">
        <v>3.0000000000000001E-3</v>
      </c>
    </row>
    <row r="66" spans="1:23" s="5" customFormat="1" ht="17.25" customHeight="1" x14ac:dyDescent="0.4">
      <c r="A66" s="33" t="s">
        <v>138</v>
      </c>
      <c r="B66" s="87">
        <v>36841</v>
      </c>
      <c r="C66" s="34" t="s">
        <v>62</v>
      </c>
      <c r="D66" s="90" t="s">
        <v>71</v>
      </c>
      <c r="E66" s="91">
        <v>5.5400000000000005E-2</v>
      </c>
      <c r="F66" s="92">
        <v>0.04</v>
      </c>
      <c r="G66" s="93">
        <v>46674</v>
      </c>
      <c r="H66" s="93">
        <v>46688</v>
      </c>
      <c r="I66" s="94">
        <v>1.810958904109589</v>
      </c>
      <c r="J66" s="95">
        <v>102.01</v>
      </c>
      <c r="K66" s="96">
        <v>50.7</v>
      </c>
      <c r="L66" s="97">
        <v>1.2544378698224852</v>
      </c>
      <c r="M66" s="98">
        <v>126.05</v>
      </c>
      <c r="N66" s="99">
        <v>4.8325471698113746E-3</v>
      </c>
      <c r="O66" s="100">
        <v>31589.999999999996</v>
      </c>
      <c r="P66" s="101">
        <v>1</v>
      </c>
      <c r="Q66" s="102">
        <v>3000</v>
      </c>
      <c r="R66" s="101">
        <v>0.373</v>
      </c>
      <c r="S66" s="35" t="s">
        <v>28</v>
      </c>
      <c r="T66" s="36"/>
      <c r="U66" s="40"/>
      <c r="V66" s="38" t="str">
        <f t="shared" si="1"/>
        <v>榮昌一</v>
      </c>
      <c r="W66" s="39">
        <v>3.0000000000000001E-3</v>
      </c>
    </row>
    <row r="67" spans="1:23" s="5" customFormat="1" ht="17.25" customHeight="1" x14ac:dyDescent="0.4">
      <c r="A67" s="33" t="s">
        <v>139</v>
      </c>
      <c r="B67" s="87">
        <v>36913</v>
      </c>
      <c r="C67" s="34" t="s">
        <v>140</v>
      </c>
      <c r="D67" s="90" t="s">
        <v>69</v>
      </c>
      <c r="E67" s="91">
        <v>3.9300000000000009E-2</v>
      </c>
      <c r="F67" s="92">
        <v>2.1999999999999999E-2</v>
      </c>
      <c r="G67" s="93">
        <v>46615</v>
      </c>
      <c r="H67" s="93">
        <v>46629</v>
      </c>
      <c r="I67" s="94">
        <v>1.6493150684931508</v>
      </c>
      <c r="J67" s="95">
        <v>100</v>
      </c>
      <c r="K67" s="96">
        <v>118</v>
      </c>
      <c r="L67" s="97">
        <v>0.66694915254237286</v>
      </c>
      <c r="M67" s="98">
        <v>101.6</v>
      </c>
      <c r="N67" s="99">
        <v>0.52335451080050821</v>
      </c>
      <c r="O67" s="100">
        <v>5529.9999999999955</v>
      </c>
      <c r="P67" s="101">
        <v>1</v>
      </c>
      <c r="Q67" s="102">
        <v>20000</v>
      </c>
      <c r="R67" s="101">
        <v>0.42799999999999999</v>
      </c>
      <c r="S67" s="35" t="s">
        <v>27</v>
      </c>
      <c r="T67" s="36"/>
      <c r="U67" s="37"/>
      <c r="V67" s="38" t="str">
        <f t="shared" si="1"/>
        <v>碩禾三</v>
      </c>
      <c r="W67" s="39">
        <v>3.0000000000000001E-3</v>
      </c>
    </row>
    <row r="68" spans="1:23" s="5" customFormat="1" ht="17.25" customHeight="1" x14ac:dyDescent="0.4">
      <c r="A68" s="33" t="s">
        <v>141</v>
      </c>
      <c r="B68" s="87">
        <v>37022</v>
      </c>
      <c r="C68" s="34" t="s">
        <v>62</v>
      </c>
      <c r="D68" s="90" t="s">
        <v>63</v>
      </c>
      <c r="E68" s="91">
        <v>5.8500000000000003E-2</v>
      </c>
      <c r="F68" s="92">
        <v>0.03</v>
      </c>
      <c r="G68" s="93">
        <v>46688</v>
      </c>
      <c r="H68" s="93">
        <v>46702</v>
      </c>
      <c r="I68" s="94">
        <v>1.8493150684931507</v>
      </c>
      <c r="J68" s="95">
        <v>100</v>
      </c>
      <c r="K68" s="96">
        <v>76.900000000000006</v>
      </c>
      <c r="L68" s="97">
        <v>0.76983094928478546</v>
      </c>
      <c r="M68" s="98">
        <v>100.65</v>
      </c>
      <c r="N68" s="99">
        <v>0.30742989864864861</v>
      </c>
      <c r="O68" s="100">
        <v>6500.0000000000055</v>
      </c>
      <c r="P68" s="101">
        <v>1</v>
      </c>
      <c r="Q68" s="102">
        <v>35000</v>
      </c>
      <c r="R68" s="101">
        <v>0.34699999999999998</v>
      </c>
      <c r="S68" s="35" t="s">
        <v>28</v>
      </c>
      <c r="T68" s="36"/>
      <c r="U68" s="37"/>
      <c r="V68" s="38" t="str">
        <f t="shared" si="1"/>
        <v>大聯大二</v>
      </c>
      <c r="W68" s="39">
        <v>3.0000000000000001E-3</v>
      </c>
    </row>
    <row r="69" spans="1:23" s="5" customFormat="1" ht="17.25" customHeight="1" x14ac:dyDescent="0.4">
      <c r="A69" s="33" t="s">
        <v>142</v>
      </c>
      <c r="B69" s="87">
        <v>37023</v>
      </c>
      <c r="C69" s="34" t="s">
        <v>62</v>
      </c>
      <c r="D69" s="90" t="s">
        <v>63</v>
      </c>
      <c r="E69" s="91">
        <v>5.9400000000000008E-2</v>
      </c>
      <c r="F69" s="92">
        <v>0.03</v>
      </c>
      <c r="G69" s="93">
        <v>46699</v>
      </c>
      <c r="H69" s="93">
        <v>46712</v>
      </c>
      <c r="I69" s="94">
        <v>1.8767123287671232</v>
      </c>
      <c r="J69" s="95">
        <v>100</v>
      </c>
      <c r="K69" s="96">
        <v>74.599999999999994</v>
      </c>
      <c r="L69" s="97">
        <v>0.79356568364611269</v>
      </c>
      <c r="M69" s="98">
        <v>101.95</v>
      </c>
      <c r="N69" s="99">
        <v>0.28470777027027028</v>
      </c>
      <c r="O69" s="100">
        <v>7890.0000000000036</v>
      </c>
      <c r="P69" s="101">
        <v>1</v>
      </c>
      <c r="Q69" s="102">
        <v>20000</v>
      </c>
      <c r="R69" s="101">
        <v>0.34699999999999998</v>
      </c>
      <c r="S69" s="35" t="s">
        <v>28</v>
      </c>
      <c r="T69" s="36"/>
      <c r="U69" s="37"/>
      <c r="V69" s="38" t="str">
        <f t="shared" si="1"/>
        <v>大聯大三</v>
      </c>
      <c r="W69" s="39">
        <v>3.0000000000000001E-3</v>
      </c>
    </row>
    <row r="70" spans="1:23" s="5" customFormat="1" ht="17.25" customHeight="1" x14ac:dyDescent="0.4">
      <c r="A70" s="33" t="s">
        <v>143</v>
      </c>
      <c r="B70" s="87">
        <v>37083</v>
      </c>
      <c r="C70" s="34" t="s">
        <v>144</v>
      </c>
      <c r="D70" s="90" t="s">
        <v>71</v>
      </c>
      <c r="E70" s="91">
        <v>1.9E-2</v>
      </c>
      <c r="F70" s="92">
        <v>2.1999999999999999E-2</v>
      </c>
      <c r="G70" s="93">
        <v>46279</v>
      </c>
      <c r="H70" s="93">
        <v>46292</v>
      </c>
      <c r="I70" s="94">
        <v>0.72602739726027399</v>
      </c>
      <c r="J70" s="95">
        <v>100</v>
      </c>
      <c r="K70" s="96">
        <v>86.4</v>
      </c>
      <c r="L70" s="97">
        <v>1.2905092592592589</v>
      </c>
      <c r="M70" s="98">
        <v>138.30000000000001</v>
      </c>
      <c r="N70" s="99">
        <v>7.1669955156951015E-2</v>
      </c>
      <c r="O70" s="100">
        <v>40200.000000000015</v>
      </c>
      <c r="P70" s="101">
        <v>0.30370000000000003</v>
      </c>
      <c r="Q70" s="102">
        <v>10000</v>
      </c>
      <c r="R70" s="101">
        <v>0.56599999999999995</v>
      </c>
      <c r="S70" s="35" t="s">
        <v>27</v>
      </c>
      <c r="T70" s="36" t="s">
        <v>3</v>
      </c>
      <c r="U70" s="37"/>
      <c r="V70" s="38" t="str">
        <f t="shared" si="1"/>
        <v>上緯投控三</v>
      </c>
      <c r="W70" s="39">
        <v>3.0000000000000001E-3</v>
      </c>
    </row>
    <row r="71" spans="1:23" s="5" customFormat="1" ht="17.25" customHeight="1" x14ac:dyDescent="0.4">
      <c r="A71" s="33" t="s">
        <v>145</v>
      </c>
      <c r="B71" s="87">
        <v>41135</v>
      </c>
      <c r="C71" s="34" t="s">
        <v>146</v>
      </c>
      <c r="D71" s="90" t="s">
        <v>69</v>
      </c>
      <c r="E71" s="91">
        <v>7.0500000000000007E-2</v>
      </c>
      <c r="F71" s="92">
        <v>2.4E-2</v>
      </c>
      <c r="G71" s="93">
        <v>47039</v>
      </c>
      <c r="H71" s="93">
        <v>47053</v>
      </c>
      <c r="I71" s="94">
        <v>2.8109589041095893</v>
      </c>
      <c r="J71" s="95">
        <v>100</v>
      </c>
      <c r="K71" s="96">
        <v>26.3</v>
      </c>
      <c r="L71" s="97">
        <v>0.90494296577946765</v>
      </c>
      <c r="M71" s="98">
        <v>112.85</v>
      </c>
      <c r="N71" s="99">
        <v>0.24703991596638647</v>
      </c>
      <c r="O71" s="100">
        <v>19899.999999999996</v>
      </c>
      <c r="P71" s="101">
        <v>1</v>
      </c>
      <c r="Q71" s="102">
        <v>4000</v>
      </c>
      <c r="R71" s="101">
        <v>0.215</v>
      </c>
      <c r="S71" s="35" t="s">
        <v>28</v>
      </c>
      <c r="T71" s="36"/>
      <c r="U71" s="40"/>
      <c r="V71" s="38" t="str">
        <f t="shared" si="1"/>
        <v>聯上五</v>
      </c>
      <c r="W71" s="39">
        <v>3.0000000000000001E-3</v>
      </c>
    </row>
    <row r="72" spans="1:23" s="5" customFormat="1" ht="17.25" customHeight="1" x14ac:dyDescent="0.4">
      <c r="A72" s="33" t="s">
        <v>147</v>
      </c>
      <c r="B72" s="87">
        <v>41236</v>
      </c>
      <c r="C72" s="34" t="s">
        <v>148</v>
      </c>
      <c r="D72" s="90" t="s">
        <v>71</v>
      </c>
      <c r="E72" s="91">
        <v>5.3800000000000008E-2</v>
      </c>
      <c r="F72" s="92">
        <v>2.1999999999999999E-2</v>
      </c>
      <c r="G72" s="93">
        <v>46855</v>
      </c>
      <c r="H72" s="93">
        <v>46869</v>
      </c>
      <c r="I72" s="94">
        <v>2.3068493150684932</v>
      </c>
      <c r="J72" s="95">
        <v>100</v>
      </c>
      <c r="K72" s="96">
        <v>38.6</v>
      </c>
      <c r="L72" s="97">
        <v>1.0492227979274611</v>
      </c>
      <c r="M72" s="98">
        <v>119.75</v>
      </c>
      <c r="N72" s="99">
        <v>0.14132098765432102</v>
      </c>
      <c r="O72" s="100">
        <v>25130.000000000004</v>
      </c>
      <c r="P72" s="101">
        <v>0.90885714285714281</v>
      </c>
      <c r="Q72" s="102">
        <v>7000</v>
      </c>
      <c r="R72" s="101">
        <v>0.30099999999999999</v>
      </c>
      <c r="S72" s="35" t="s">
        <v>27</v>
      </c>
      <c r="T72" s="36"/>
      <c r="U72" s="37"/>
      <c r="V72" s="38" t="str">
        <f t="shared" si="1"/>
        <v>晟德六</v>
      </c>
      <c r="W72" s="39">
        <v>3.0000000000000001E-3</v>
      </c>
    </row>
    <row r="73" spans="1:23" s="5" customFormat="1" ht="17.25" customHeight="1" x14ac:dyDescent="0.4">
      <c r="A73" s="33" t="s">
        <v>149</v>
      </c>
      <c r="B73" s="87">
        <v>41684</v>
      </c>
      <c r="C73" s="34" t="s">
        <v>150</v>
      </c>
      <c r="D73" s="90" t="s">
        <v>69</v>
      </c>
      <c r="E73" s="91">
        <v>6.25E-2</v>
      </c>
      <c r="F73" s="92">
        <v>2.1999999999999999E-2</v>
      </c>
      <c r="G73" s="93">
        <v>47000</v>
      </c>
      <c r="H73" s="93">
        <v>47014</v>
      </c>
      <c r="I73" s="94">
        <v>2.7041095890410958</v>
      </c>
      <c r="J73" s="95">
        <v>100</v>
      </c>
      <c r="K73" s="96">
        <v>23.91</v>
      </c>
      <c r="L73" s="97">
        <v>1.0999581764951902</v>
      </c>
      <c r="M73" s="98">
        <v>120.5</v>
      </c>
      <c r="N73" s="99">
        <v>9.5496197718631215E-2</v>
      </c>
      <c r="O73" s="100">
        <v>26749.999999999996</v>
      </c>
      <c r="P73" s="101">
        <v>1</v>
      </c>
      <c r="Q73" s="102">
        <v>5000</v>
      </c>
      <c r="R73" s="101">
        <v>0.245</v>
      </c>
      <c r="S73" s="35" t="s">
        <v>28</v>
      </c>
      <c r="T73" s="36"/>
      <c r="U73" s="37"/>
      <c r="V73" s="38" t="str">
        <f t="shared" si="1"/>
        <v>醣聯四</v>
      </c>
      <c r="W73" s="39">
        <v>3.0000000000000001E-3</v>
      </c>
    </row>
    <row r="74" spans="1:23" s="5" customFormat="1" ht="17.25" customHeight="1" x14ac:dyDescent="0.4">
      <c r="A74" s="33" t="s">
        <v>151</v>
      </c>
      <c r="B74" s="87">
        <v>44163</v>
      </c>
      <c r="C74" s="34" t="s">
        <v>144</v>
      </c>
      <c r="D74" s="90" t="s">
        <v>66</v>
      </c>
      <c r="E74" s="91">
        <v>-1E-3</v>
      </c>
      <c r="F74" s="92">
        <v>2.1999999999999999E-2</v>
      </c>
      <c r="G74" s="93">
        <v>46281</v>
      </c>
      <c r="H74" s="93">
        <v>46295</v>
      </c>
      <c r="I74" s="94">
        <v>0.73424657534246573</v>
      </c>
      <c r="J74" s="95">
        <v>102.01</v>
      </c>
      <c r="K74" s="96">
        <v>65.7</v>
      </c>
      <c r="L74" s="97">
        <v>0.46651445966514449</v>
      </c>
      <c r="M74" s="98">
        <v>104.1</v>
      </c>
      <c r="N74" s="99">
        <v>1.2314420880913544</v>
      </c>
      <c r="O74" s="100">
        <v>3999.9999999999945</v>
      </c>
      <c r="P74" s="101">
        <v>0.95589999999999997</v>
      </c>
      <c r="Q74" s="102">
        <v>10000</v>
      </c>
      <c r="R74" s="101">
        <v>0.53600000000000003</v>
      </c>
      <c r="S74" s="35" t="s">
        <v>27</v>
      </c>
      <c r="T74" s="36"/>
      <c r="U74" s="37"/>
      <c r="V74" s="38" t="str">
        <f t="shared" si="1"/>
        <v>三圓三</v>
      </c>
      <c r="W74" s="39">
        <v>3.0000000000000001E-3</v>
      </c>
    </row>
    <row r="75" spans="1:23" s="5" customFormat="1" ht="17.25" customHeight="1" x14ac:dyDescent="0.4">
      <c r="A75" s="33" t="s">
        <v>152</v>
      </c>
      <c r="B75" s="87">
        <v>44383</v>
      </c>
      <c r="C75" s="34" t="s">
        <v>62</v>
      </c>
      <c r="D75" s="90" t="s">
        <v>63</v>
      </c>
      <c r="E75" s="91">
        <v>8.5200000000000012E-2</v>
      </c>
      <c r="F75" s="92">
        <v>0.03</v>
      </c>
      <c r="G75" s="93">
        <v>47014</v>
      </c>
      <c r="H75" s="93">
        <v>47026</v>
      </c>
      <c r="I75" s="94">
        <v>2.7369863013698632</v>
      </c>
      <c r="J75" s="95">
        <v>100</v>
      </c>
      <c r="K75" s="96">
        <v>75</v>
      </c>
      <c r="L75" s="97">
        <v>0.9986666666666667</v>
      </c>
      <c r="M75" s="98">
        <v>111.5</v>
      </c>
      <c r="N75" s="99">
        <v>0.11648865153538042</v>
      </c>
      <c r="O75" s="100">
        <v>20020</v>
      </c>
      <c r="P75" s="101">
        <v>1</v>
      </c>
      <c r="Q75" s="102">
        <v>8000</v>
      </c>
      <c r="R75" s="101">
        <v>0.24199999999999999</v>
      </c>
      <c r="S75" s="35" t="s">
        <v>27</v>
      </c>
      <c r="T75" s="36" t="s">
        <v>3</v>
      </c>
      <c r="U75" s="37"/>
      <c r="V75" s="38" t="str">
        <f t="shared" si="1"/>
        <v>廣越三</v>
      </c>
      <c r="W75" s="39">
        <v>3.0000000000000001E-3</v>
      </c>
    </row>
    <row r="76" spans="1:23" s="5" customFormat="1" ht="17.25" customHeight="1" x14ac:dyDescent="0.4">
      <c r="A76" s="33" t="s">
        <v>153</v>
      </c>
      <c r="B76" s="87">
        <v>45554</v>
      </c>
      <c r="C76" s="34" t="s">
        <v>154</v>
      </c>
      <c r="D76" s="90" t="s">
        <v>69</v>
      </c>
      <c r="E76" s="91">
        <v>5.6500000000000009E-2</v>
      </c>
      <c r="F76" s="92">
        <v>2.1999999999999999E-2</v>
      </c>
      <c r="G76" s="93">
        <v>46899</v>
      </c>
      <c r="H76" s="93">
        <v>46913</v>
      </c>
      <c r="I76" s="94">
        <v>2.4273972602739726</v>
      </c>
      <c r="J76" s="95">
        <v>100</v>
      </c>
      <c r="K76" s="96">
        <v>43.4</v>
      </c>
      <c r="L76" s="97">
        <v>0.89170506912442404</v>
      </c>
      <c r="M76" s="98">
        <v>106.4</v>
      </c>
      <c r="N76" s="99">
        <v>0.19321963824289398</v>
      </c>
      <c r="O76" s="100">
        <v>12050.000000000007</v>
      </c>
      <c r="P76" s="101">
        <v>1</v>
      </c>
      <c r="Q76" s="102">
        <v>5000</v>
      </c>
      <c r="R76" s="101">
        <v>0.28599999999999998</v>
      </c>
      <c r="S76" s="35" t="s">
        <v>27</v>
      </c>
      <c r="T76" s="36"/>
      <c r="U76" s="37"/>
      <c r="V76" s="38" t="str">
        <f t="shared" si="1"/>
        <v>氣立四</v>
      </c>
      <c r="W76" s="39">
        <v>3.0000000000000001E-3</v>
      </c>
    </row>
    <row r="77" spans="1:23" s="5" customFormat="1" ht="17.25" customHeight="1" x14ac:dyDescent="0.4">
      <c r="A77" s="33" t="s">
        <v>155</v>
      </c>
      <c r="B77" s="87">
        <v>45581</v>
      </c>
      <c r="C77" s="34" t="s">
        <v>77</v>
      </c>
      <c r="D77" s="90" t="s">
        <v>66</v>
      </c>
      <c r="E77" s="91">
        <v>6.1300000000000007E-2</v>
      </c>
      <c r="F77" s="92">
        <v>2.1999999999999999E-2</v>
      </c>
      <c r="G77" s="93">
        <v>46979</v>
      </c>
      <c r="H77" s="93">
        <v>46993</v>
      </c>
      <c r="I77" s="94">
        <v>2.6465753424657534</v>
      </c>
      <c r="J77" s="95">
        <v>100</v>
      </c>
      <c r="K77" s="96">
        <v>29.8</v>
      </c>
      <c r="L77" s="97">
        <v>0.65604026845637586</v>
      </c>
      <c r="M77" s="98">
        <v>101.1</v>
      </c>
      <c r="N77" s="99">
        <v>0.54106393861892554</v>
      </c>
      <c r="O77" s="100">
        <v>7229.9999999999945</v>
      </c>
      <c r="P77" s="101">
        <v>1</v>
      </c>
      <c r="Q77" s="102">
        <v>3000</v>
      </c>
      <c r="R77" s="101">
        <v>0.45700000000000002</v>
      </c>
      <c r="S77" s="35" t="s">
        <v>27</v>
      </c>
      <c r="T77" s="36"/>
      <c r="U77" s="37"/>
      <c r="V77" s="38" t="str">
        <f t="shared" si="1"/>
        <v>寶緯一</v>
      </c>
      <c r="W77" s="39">
        <v>3.0000000000000001E-3</v>
      </c>
    </row>
    <row r="78" spans="1:23" s="5" customFormat="1" ht="21" customHeight="1" x14ac:dyDescent="0.4">
      <c r="A78" s="33" t="s">
        <v>156</v>
      </c>
      <c r="B78" s="87">
        <v>45721</v>
      </c>
      <c r="C78" s="34" t="s">
        <v>62</v>
      </c>
      <c r="D78" s="90" t="s">
        <v>71</v>
      </c>
      <c r="E78" s="91">
        <v>2.2799999999999997E-2</v>
      </c>
      <c r="F78" s="92">
        <v>3.7499999999999999E-2</v>
      </c>
      <c r="G78" s="93">
        <v>46205</v>
      </c>
      <c r="H78" s="93">
        <v>46219</v>
      </c>
      <c r="I78" s="94">
        <v>0.52602739726027392</v>
      </c>
      <c r="J78" s="95">
        <v>100</v>
      </c>
      <c r="K78" s="96">
        <v>160.6</v>
      </c>
      <c r="L78" s="97">
        <v>0.94022415940224169</v>
      </c>
      <c r="M78" s="98">
        <v>114</v>
      </c>
      <c r="N78" s="99">
        <v>0.21247682119205291</v>
      </c>
      <c r="O78" s="100">
        <v>16280</v>
      </c>
      <c r="P78" s="101">
        <v>1</v>
      </c>
      <c r="Q78" s="102">
        <v>5000</v>
      </c>
      <c r="R78" s="101">
        <v>0.223</v>
      </c>
      <c r="S78" s="35" t="s">
        <v>28</v>
      </c>
      <c r="T78" s="36"/>
      <c r="U78" s="37"/>
      <c r="V78" s="38" t="str">
        <f t="shared" si="1"/>
        <v>駐龍一</v>
      </c>
      <c r="W78" s="39">
        <v>3.0000000000000001E-3</v>
      </c>
    </row>
    <row r="79" spans="1:23" s="5" customFormat="1" ht="21" customHeight="1" x14ac:dyDescent="0.4">
      <c r="A79" s="33" t="s">
        <v>157</v>
      </c>
      <c r="B79" s="87">
        <v>47223</v>
      </c>
      <c r="C79" s="34" t="s">
        <v>62</v>
      </c>
      <c r="D79" s="90" t="s">
        <v>80</v>
      </c>
      <c r="E79" s="91">
        <v>8.5200000000000012E-2</v>
      </c>
      <c r="F79" s="92">
        <v>0.03</v>
      </c>
      <c r="G79" s="93">
        <v>47014</v>
      </c>
      <c r="H79" s="93">
        <v>47027</v>
      </c>
      <c r="I79" s="94">
        <v>2.7397260273972601</v>
      </c>
      <c r="J79" s="95">
        <v>100</v>
      </c>
      <c r="K79" s="96">
        <v>141.30000000000001</v>
      </c>
      <c r="L79" s="97">
        <v>1.316348195329087</v>
      </c>
      <c r="M79" s="98">
        <v>143</v>
      </c>
      <c r="N79" s="99">
        <v>8.6338709677419453E-2</v>
      </c>
      <c r="O79" s="100">
        <v>51520</v>
      </c>
      <c r="P79" s="101">
        <v>1</v>
      </c>
      <c r="Q79" s="102">
        <v>5000</v>
      </c>
      <c r="R79" s="101">
        <v>0.74299999999999999</v>
      </c>
      <c r="S79" s="35" t="s">
        <v>28</v>
      </c>
      <c r="T79" s="36"/>
      <c r="U79" s="37"/>
      <c r="V79" s="38" t="str">
        <f t="shared" si="1"/>
        <v>國精化三</v>
      </c>
      <c r="W79" s="39">
        <v>3.0000000000000001E-3</v>
      </c>
    </row>
    <row r="80" spans="1:23" s="5" customFormat="1" ht="17.25" customHeight="1" x14ac:dyDescent="0.4">
      <c r="A80" s="33" t="s">
        <v>158</v>
      </c>
      <c r="B80" s="87">
        <v>47393</v>
      </c>
      <c r="C80" s="34" t="s">
        <v>159</v>
      </c>
      <c r="D80" s="90" t="s">
        <v>80</v>
      </c>
      <c r="E80" s="91">
        <v>2.0899999999999998E-2</v>
      </c>
      <c r="F80" s="92">
        <v>2.1999999999999999E-2</v>
      </c>
      <c r="G80" s="93">
        <v>46309</v>
      </c>
      <c r="H80" s="93">
        <v>46323</v>
      </c>
      <c r="I80" s="94">
        <v>0.81095890410958904</v>
      </c>
      <c r="J80" s="95">
        <v>100</v>
      </c>
      <c r="K80" s="96">
        <v>98.5</v>
      </c>
      <c r="L80" s="97">
        <v>0.69238578680203045</v>
      </c>
      <c r="M80" s="98">
        <v>102</v>
      </c>
      <c r="N80" s="99">
        <v>0.47316715542521987</v>
      </c>
      <c r="O80" s="100">
        <v>4090</v>
      </c>
      <c r="P80" s="101">
        <v>0.9921428571428571</v>
      </c>
      <c r="Q80" s="102">
        <v>7000</v>
      </c>
      <c r="R80" s="101">
        <v>0.53300000000000003</v>
      </c>
      <c r="S80" s="35" t="s">
        <v>27</v>
      </c>
      <c r="T80" s="36"/>
      <c r="U80" s="37"/>
      <c r="V80" s="38" t="str">
        <f t="shared" si="1"/>
        <v>康普三</v>
      </c>
      <c r="W80" s="39">
        <v>3.0000000000000001E-3</v>
      </c>
    </row>
    <row r="81" spans="1:23" s="5" customFormat="1" ht="17.25" customHeight="1" x14ac:dyDescent="0.4">
      <c r="A81" s="33" t="s">
        <v>160</v>
      </c>
      <c r="B81" s="87">
        <v>47394</v>
      </c>
      <c r="C81" s="34" t="s">
        <v>144</v>
      </c>
      <c r="D81" s="90" t="s">
        <v>80</v>
      </c>
      <c r="E81" s="91">
        <v>6.8000000000000005E-2</v>
      </c>
      <c r="F81" s="92">
        <v>2.1999999999999999E-2</v>
      </c>
      <c r="G81" s="93">
        <v>47091</v>
      </c>
      <c r="H81" s="93">
        <v>47104</v>
      </c>
      <c r="I81" s="94">
        <v>2.9506849315068493</v>
      </c>
      <c r="J81" s="95">
        <v>100</v>
      </c>
      <c r="K81" s="96">
        <v>71</v>
      </c>
      <c r="L81" s="97">
        <v>0.96056338028169019</v>
      </c>
      <c r="M81" s="98">
        <v>116.3</v>
      </c>
      <c r="N81" s="99">
        <v>0.21074780058651013</v>
      </c>
      <c r="O81" s="100">
        <v>23100</v>
      </c>
      <c r="P81" s="101">
        <v>1</v>
      </c>
      <c r="Q81" s="102">
        <v>6000</v>
      </c>
      <c r="R81" s="101">
        <v>0.53300000000000003</v>
      </c>
      <c r="S81" s="35" t="s">
        <v>27</v>
      </c>
      <c r="T81" s="36"/>
      <c r="U81" s="37"/>
      <c r="V81" s="38" t="str">
        <f t="shared" si="1"/>
        <v>康普四</v>
      </c>
      <c r="W81" s="39">
        <v>3.0000000000000001E-3</v>
      </c>
    </row>
    <row r="82" spans="1:23" s="5" customFormat="1" ht="17.25" customHeight="1" x14ac:dyDescent="0.4">
      <c r="A82" s="33" t="s">
        <v>35</v>
      </c>
      <c r="B82" s="87">
        <v>47721</v>
      </c>
      <c r="C82" s="34" t="s">
        <v>62</v>
      </c>
      <c r="D82" s="90" t="s">
        <v>71</v>
      </c>
      <c r="E82" s="91">
        <v>0.10730000000000001</v>
      </c>
      <c r="F82" s="92">
        <v>3.5999999999999997E-2</v>
      </c>
      <c r="G82" s="93">
        <v>47070</v>
      </c>
      <c r="H82" s="93">
        <v>47084</v>
      </c>
      <c r="I82" s="94">
        <v>2.8958904109589043</v>
      </c>
      <c r="J82" s="95">
        <v>100</v>
      </c>
      <c r="K82" s="96">
        <v>323.8</v>
      </c>
      <c r="L82" s="97">
        <v>1.0716491661519456</v>
      </c>
      <c r="M82" s="98">
        <v>131.19999999999999</v>
      </c>
      <c r="N82" s="99">
        <v>0.22428126801152737</v>
      </c>
      <c r="O82" s="100">
        <v>41929.999999999993</v>
      </c>
      <c r="P82" s="101">
        <v>1</v>
      </c>
      <c r="Q82" s="102">
        <v>20000</v>
      </c>
      <c r="R82" s="101">
        <v>0.33300000000000002</v>
      </c>
      <c r="S82" s="35" t="s">
        <v>28</v>
      </c>
      <c r="T82" s="36"/>
      <c r="U82" s="37"/>
      <c r="V82" s="38" t="str">
        <f t="shared" si="1"/>
        <v>台特化一</v>
      </c>
      <c r="W82" s="39">
        <v>3.0000000000000001E-3</v>
      </c>
    </row>
    <row r="83" spans="1:23" s="5" customFormat="1" ht="17.25" customHeight="1" x14ac:dyDescent="0.4">
      <c r="A83" s="33" t="s">
        <v>161</v>
      </c>
      <c r="B83" s="87">
        <v>49066</v>
      </c>
      <c r="C83" s="34" t="s">
        <v>62</v>
      </c>
      <c r="D83" s="90" t="s">
        <v>80</v>
      </c>
      <c r="E83" s="91">
        <v>1.72E-2</v>
      </c>
      <c r="F83" s="92">
        <v>3.5000000000000003E-2</v>
      </c>
      <c r="G83" s="93">
        <v>46161</v>
      </c>
      <c r="H83" s="93">
        <v>46175</v>
      </c>
      <c r="I83" s="94">
        <v>0.40547945205479452</v>
      </c>
      <c r="J83" s="95">
        <v>100</v>
      </c>
      <c r="K83" s="96">
        <v>26.6</v>
      </c>
      <c r="L83" s="97">
        <v>1.0169172932330828</v>
      </c>
      <c r="M83" s="98">
        <v>113.95</v>
      </c>
      <c r="N83" s="99">
        <v>0.12054343807763393</v>
      </c>
      <c r="O83" s="100">
        <v>15670.000000000004</v>
      </c>
      <c r="P83" s="101">
        <v>0.43013333333333331</v>
      </c>
      <c r="Q83" s="102">
        <v>15000</v>
      </c>
      <c r="R83" s="101">
        <v>0.36</v>
      </c>
      <c r="S83" s="35" t="s">
        <v>28</v>
      </c>
      <c r="T83" s="36"/>
      <c r="U83" s="37"/>
      <c r="V83" s="38" t="str">
        <f t="shared" si="1"/>
        <v>正文六</v>
      </c>
      <c r="W83" s="39">
        <v>3.0000000000000001E-3</v>
      </c>
    </row>
    <row r="84" spans="1:23" s="5" customFormat="1" ht="17.25" customHeight="1" x14ac:dyDescent="0.4">
      <c r="A84" s="33" t="s">
        <v>162</v>
      </c>
      <c r="B84" s="87">
        <v>52011</v>
      </c>
      <c r="C84" s="34" t="s">
        <v>163</v>
      </c>
      <c r="D84" s="90" t="s">
        <v>71</v>
      </c>
      <c r="E84" s="91">
        <v>6.4200000000000007E-2</v>
      </c>
      <c r="F84" s="92">
        <v>2.1999999999999999E-2</v>
      </c>
      <c r="G84" s="93">
        <v>47028</v>
      </c>
      <c r="H84" s="93">
        <v>47041</v>
      </c>
      <c r="I84" s="94">
        <v>2.7780821917808218</v>
      </c>
      <c r="J84" s="95">
        <v>100</v>
      </c>
      <c r="K84" s="96">
        <v>38.5</v>
      </c>
      <c r="L84" s="97">
        <v>1.1701298701298701</v>
      </c>
      <c r="M84" s="98">
        <v>125</v>
      </c>
      <c r="N84" s="99">
        <v>6.825749167591566E-2</v>
      </c>
      <c r="O84" s="100">
        <v>31420.000000000004</v>
      </c>
      <c r="P84" s="101">
        <v>1</v>
      </c>
      <c r="Q84" s="102">
        <v>1000</v>
      </c>
      <c r="R84" s="101">
        <v>0.371</v>
      </c>
      <c r="S84" s="35" t="s">
        <v>27</v>
      </c>
      <c r="T84" s="36"/>
      <c r="U84" s="37"/>
      <c r="V84" s="38" t="str">
        <f t="shared" si="1"/>
        <v>凱衛一</v>
      </c>
      <c r="W84" s="39">
        <v>3.0000000000000001E-3</v>
      </c>
    </row>
    <row r="85" spans="1:23" s="5" customFormat="1" ht="17.25" customHeight="1" x14ac:dyDescent="0.4">
      <c r="A85" s="33" t="s">
        <v>164</v>
      </c>
      <c r="B85" s="87">
        <v>52303</v>
      </c>
      <c r="C85" s="34" t="s">
        <v>165</v>
      </c>
      <c r="D85" s="90" t="s">
        <v>69</v>
      </c>
      <c r="E85" s="91">
        <v>1.4599999999999998E-2</v>
      </c>
      <c r="F85" s="92">
        <v>2.1000000000000001E-2</v>
      </c>
      <c r="G85" s="93">
        <v>46213</v>
      </c>
      <c r="H85" s="93">
        <v>46227</v>
      </c>
      <c r="I85" s="94">
        <v>0.54794520547945202</v>
      </c>
      <c r="J85" s="95">
        <v>100</v>
      </c>
      <c r="K85" s="96">
        <v>22</v>
      </c>
      <c r="L85" s="97">
        <v>0.83409090909090911</v>
      </c>
      <c r="M85" s="98">
        <v>106.1</v>
      </c>
      <c r="N85" s="99">
        <v>0.2720435967302452</v>
      </c>
      <c r="O85" s="100">
        <v>7559.9999999999945</v>
      </c>
      <c r="P85" s="101">
        <v>0.19866666666666666</v>
      </c>
      <c r="Q85" s="102">
        <v>3000</v>
      </c>
      <c r="R85" s="101">
        <v>0.495</v>
      </c>
      <c r="S85" s="35" t="s">
        <v>27</v>
      </c>
      <c r="T85" s="36"/>
      <c r="U85" s="37"/>
      <c r="V85" s="38" t="str">
        <f t="shared" si="1"/>
        <v>雷笛克光學三</v>
      </c>
      <c r="W85" s="39">
        <v>3.0000000000000001E-3</v>
      </c>
    </row>
    <row r="86" spans="1:23" s="5" customFormat="1" ht="17.25" customHeight="1" x14ac:dyDescent="0.4">
      <c r="A86" s="33" t="s">
        <v>166</v>
      </c>
      <c r="B86" s="87">
        <v>52635</v>
      </c>
      <c r="C86" s="34" t="s">
        <v>167</v>
      </c>
      <c r="D86" s="90" t="s">
        <v>69</v>
      </c>
      <c r="E86" s="91">
        <v>4.5000000000000005E-3</v>
      </c>
      <c r="F86" s="92">
        <v>2.1999999999999999E-2</v>
      </c>
      <c r="G86" s="93">
        <v>46071</v>
      </c>
      <c r="H86" s="93">
        <v>46085</v>
      </c>
      <c r="I86" s="94">
        <v>0.15890410958904111</v>
      </c>
      <c r="J86" s="95">
        <v>100.20010000000001</v>
      </c>
      <c r="K86" s="96">
        <v>110.4</v>
      </c>
      <c r="L86" s="97">
        <v>1.0280797101449275</v>
      </c>
      <c r="M86" s="98">
        <v>120</v>
      </c>
      <c r="N86" s="99">
        <v>0.16722466960352428</v>
      </c>
      <c r="O86" s="100">
        <v>20450</v>
      </c>
      <c r="P86" s="101">
        <v>0.50462499999999999</v>
      </c>
      <c r="Q86" s="102">
        <v>8000</v>
      </c>
      <c r="R86" s="101">
        <v>0.39700000000000002</v>
      </c>
      <c r="S86" s="35" t="s">
        <v>27</v>
      </c>
      <c r="T86" s="36"/>
      <c r="U86" s="37"/>
      <c r="V86" s="38" t="str">
        <f t="shared" si="1"/>
        <v>智崴五</v>
      </c>
      <c r="W86" s="39">
        <v>3.0000000000000001E-3</v>
      </c>
    </row>
    <row r="87" spans="1:23" s="5" customFormat="1" ht="17.25" customHeight="1" x14ac:dyDescent="0.4">
      <c r="A87" s="33" t="s">
        <v>168</v>
      </c>
      <c r="B87" s="87">
        <v>53064</v>
      </c>
      <c r="C87" s="34" t="s">
        <v>169</v>
      </c>
      <c r="D87" s="90" t="s">
        <v>63</v>
      </c>
      <c r="E87" s="91">
        <v>2.1599999999999998E-2</v>
      </c>
      <c r="F87" s="92">
        <v>2.1999999999999999E-2</v>
      </c>
      <c r="G87" s="93">
        <v>46321</v>
      </c>
      <c r="H87" s="93">
        <v>46334</v>
      </c>
      <c r="I87" s="94">
        <v>0.84109589041095889</v>
      </c>
      <c r="J87" s="95">
        <v>100</v>
      </c>
      <c r="K87" s="96">
        <v>121.3</v>
      </c>
      <c r="L87" s="97">
        <v>0.73042044517724647</v>
      </c>
      <c r="M87" s="98">
        <v>100.95</v>
      </c>
      <c r="N87" s="99">
        <v>0.38208069977426645</v>
      </c>
      <c r="O87" s="100">
        <v>3110.0000000000027</v>
      </c>
      <c r="P87" s="101">
        <v>0.99990000000000001</v>
      </c>
      <c r="Q87" s="102">
        <v>10000</v>
      </c>
      <c r="R87" s="101">
        <v>0.23699999999999999</v>
      </c>
      <c r="S87" s="35" t="s">
        <v>27</v>
      </c>
      <c r="T87" s="36"/>
      <c r="U87" s="37"/>
      <c r="V87" s="38" t="str">
        <f t="shared" si="1"/>
        <v>桂盟四</v>
      </c>
      <c r="W87" s="39">
        <v>3.0000000000000001E-3</v>
      </c>
    </row>
    <row r="88" spans="1:23" s="5" customFormat="1" ht="17.25" customHeight="1" x14ac:dyDescent="0.4">
      <c r="A88" s="33" t="s">
        <v>170</v>
      </c>
      <c r="B88" s="87">
        <v>53887</v>
      </c>
      <c r="C88" s="34" t="s">
        <v>62</v>
      </c>
      <c r="D88" s="90" t="s">
        <v>63</v>
      </c>
      <c r="E88" s="91">
        <v>2.69E-2</v>
      </c>
      <c r="F88" s="92">
        <v>2.5999999999999999E-2</v>
      </c>
      <c r="G88" s="93">
        <v>46349</v>
      </c>
      <c r="H88" s="93">
        <v>46362</v>
      </c>
      <c r="I88" s="94">
        <v>0.9178082191780822</v>
      </c>
      <c r="J88" s="95">
        <v>100</v>
      </c>
      <c r="K88" s="96">
        <v>134.6</v>
      </c>
      <c r="L88" s="97">
        <v>0.59138187221396732</v>
      </c>
      <c r="M88" s="98">
        <v>101.8</v>
      </c>
      <c r="N88" s="99">
        <v>0.72139195979899484</v>
      </c>
      <c r="O88" s="100">
        <v>4489.9999999999964</v>
      </c>
      <c r="P88" s="101">
        <v>1</v>
      </c>
      <c r="Q88" s="102">
        <v>30000</v>
      </c>
      <c r="R88" s="101">
        <v>0.20499999999999999</v>
      </c>
      <c r="S88" s="35" t="s">
        <v>28</v>
      </c>
      <c r="T88" s="36"/>
      <c r="U88" s="37"/>
      <c r="V88" s="38" t="str">
        <f t="shared" ref="V88:V122" si="2">A88</f>
        <v>中磊七</v>
      </c>
      <c r="W88" s="39">
        <v>3.0000000000000001E-3</v>
      </c>
    </row>
    <row r="89" spans="1:23" s="5" customFormat="1" ht="17.149999999999999" customHeight="1" x14ac:dyDescent="0.4">
      <c r="A89" s="33" t="s">
        <v>171</v>
      </c>
      <c r="B89" s="87">
        <v>54342</v>
      </c>
      <c r="C89" s="34" t="s">
        <v>62</v>
      </c>
      <c r="D89" s="90" t="s">
        <v>85</v>
      </c>
      <c r="E89" s="91">
        <v>1.6E-2</v>
      </c>
      <c r="F89" s="92">
        <v>2.7E-2</v>
      </c>
      <c r="G89" s="93">
        <v>46188</v>
      </c>
      <c r="H89" s="93">
        <v>46202</v>
      </c>
      <c r="I89" s="94">
        <v>0.47945205479452052</v>
      </c>
      <c r="J89" s="95">
        <v>100</v>
      </c>
      <c r="K89" s="96">
        <v>184.1</v>
      </c>
      <c r="L89" s="97">
        <v>1.6105377512221619</v>
      </c>
      <c r="M89" s="98">
        <v>164</v>
      </c>
      <c r="N89" s="99">
        <v>1.8293423271500797E-2</v>
      </c>
      <c r="O89" s="100">
        <v>65600</v>
      </c>
      <c r="P89" s="101">
        <v>0.3044</v>
      </c>
      <c r="Q89" s="102">
        <v>10000</v>
      </c>
      <c r="R89" s="101">
        <v>0.27200000000000002</v>
      </c>
      <c r="S89" s="35" t="s">
        <v>27</v>
      </c>
      <c r="T89" s="36"/>
      <c r="U89" s="37"/>
      <c r="V89" s="38" t="str">
        <f t="shared" si="2"/>
        <v>崇越二</v>
      </c>
      <c r="W89" s="39">
        <v>3.0000000000000001E-3</v>
      </c>
    </row>
    <row r="90" spans="1:23" s="5" customFormat="1" ht="17.25" customHeight="1" x14ac:dyDescent="0.4">
      <c r="A90" s="33" t="s">
        <v>172</v>
      </c>
      <c r="B90" s="87">
        <v>54391</v>
      </c>
      <c r="C90" s="34" t="s">
        <v>62</v>
      </c>
      <c r="D90" s="90" t="s">
        <v>80</v>
      </c>
      <c r="E90" s="91">
        <v>8.3400000000000002E-2</v>
      </c>
      <c r="F90" s="92">
        <v>0.03</v>
      </c>
      <c r="G90" s="93">
        <v>46993</v>
      </c>
      <c r="H90" s="93">
        <v>47005</v>
      </c>
      <c r="I90" s="94">
        <v>2.6794520547945204</v>
      </c>
      <c r="J90" s="95">
        <v>100</v>
      </c>
      <c r="K90" s="96">
        <v>300</v>
      </c>
      <c r="L90" s="97">
        <v>1.03</v>
      </c>
      <c r="M90" s="98">
        <v>129.9</v>
      </c>
      <c r="N90" s="99">
        <v>0.26116504854368938</v>
      </c>
      <c r="O90" s="100">
        <v>38240.000000000007</v>
      </c>
      <c r="P90" s="101">
        <v>1</v>
      </c>
      <c r="Q90" s="102">
        <v>20000</v>
      </c>
      <c r="R90" s="101">
        <v>0.66900000000000004</v>
      </c>
      <c r="S90" s="35" t="s">
        <v>28</v>
      </c>
      <c r="T90" s="36"/>
      <c r="U90" s="37"/>
      <c r="V90" s="38" t="str">
        <f t="shared" si="2"/>
        <v>高技一</v>
      </c>
      <c r="W90" s="39">
        <v>3.0000000000000001E-3</v>
      </c>
    </row>
    <row r="91" spans="1:23" s="5" customFormat="1" ht="17.149999999999999" customHeight="1" x14ac:dyDescent="0.4">
      <c r="A91" s="33" t="s">
        <v>173</v>
      </c>
      <c r="B91" s="87">
        <v>54501</v>
      </c>
      <c r="C91" s="34" t="s">
        <v>115</v>
      </c>
      <c r="D91" s="90" t="s">
        <v>69</v>
      </c>
      <c r="E91" s="91">
        <v>0</v>
      </c>
      <c r="F91" s="92">
        <v>2.1999999999999999E-2</v>
      </c>
      <c r="G91" s="93">
        <v>46090</v>
      </c>
      <c r="H91" s="93">
        <v>46102</v>
      </c>
      <c r="I91" s="94">
        <v>0.20547945205479451</v>
      </c>
      <c r="J91" s="95">
        <v>100.75</v>
      </c>
      <c r="K91" s="96">
        <v>17.399999999999999</v>
      </c>
      <c r="L91" s="97">
        <v>0.81609195402298851</v>
      </c>
      <c r="M91" s="98">
        <v>108.1</v>
      </c>
      <c r="N91" s="99">
        <v>0.32460563380281682</v>
      </c>
      <c r="O91" s="100">
        <v>8099.9999999999945</v>
      </c>
      <c r="P91" s="101">
        <v>0.99960000000000004</v>
      </c>
      <c r="Q91" s="102">
        <v>5000</v>
      </c>
      <c r="R91" s="101">
        <v>0.154</v>
      </c>
      <c r="S91" s="35" t="s">
        <v>27</v>
      </c>
      <c r="T91" s="36"/>
      <c r="U91" s="37"/>
      <c r="V91" s="38" t="str">
        <f t="shared" si="2"/>
        <v>南良一</v>
      </c>
      <c r="W91" s="39">
        <v>3.0000000000000001E-3</v>
      </c>
    </row>
    <row r="92" spans="1:23" s="5" customFormat="1" ht="17.149999999999999" customHeight="1" x14ac:dyDescent="0.4">
      <c r="A92" s="33" t="s">
        <v>174</v>
      </c>
      <c r="B92" s="87">
        <v>56086</v>
      </c>
      <c r="C92" s="34" t="s">
        <v>175</v>
      </c>
      <c r="D92" s="90" t="s">
        <v>66</v>
      </c>
      <c r="E92" s="91">
        <v>1.3600000000000001E-2</v>
      </c>
      <c r="F92" s="92">
        <v>2.3E-2</v>
      </c>
      <c r="G92" s="93">
        <v>46181</v>
      </c>
      <c r="H92" s="93">
        <v>46194</v>
      </c>
      <c r="I92" s="94">
        <v>0.45753424657534247</v>
      </c>
      <c r="J92" s="95">
        <v>100</v>
      </c>
      <c r="K92" s="96">
        <v>22.1</v>
      </c>
      <c r="L92" s="97">
        <v>0.79411764705882348</v>
      </c>
      <c r="M92" s="98">
        <v>105.95</v>
      </c>
      <c r="N92" s="99">
        <v>0.33418518518518531</v>
      </c>
      <c r="O92" s="100">
        <v>7310.0000000000027</v>
      </c>
      <c r="P92" s="101">
        <v>0.99980000000000002</v>
      </c>
      <c r="Q92" s="102">
        <v>5000</v>
      </c>
      <c r="R92" s="101">
        <v>0.56699999999999995</v>
      </c>
      <c r="S92" s="35" t="s">
        <v>27</v>
      </c>
      <c r="T92" s="36"/>
      <c r="U92" s="37"/>
      <c r="V92" s="38" t="str">
        <f t="shared" si="2"/>
        <v>四維航六</v>
      </c>
      <c r="W92" s="39">
        <v>3.0000000000000001E-3</v>
      </c>
    </row>
    <row r="93" spans="1:23" s="5" customFormat="1" ht="18" customHeight="1" x14ac:dyDescent="0.4">
      <c r="A93" s="33" t="s">
        <v>176</v>
      </c>
      <c r="B93" s="87">
        <v>56087</v>
      </c>
      <c r="C93" s="34" t="s">
        <v>144</v>
      </c>
      <c r="D93" s="90" t="s">
        <v>66</v>
      </c>
      <c r="E93" s="91">
        <v>4.5900000000000003E-2</v>
      </c>
      <c r="F93" s="92">
        <v>2.1999999999999999E-2</v>
      </c>
      <c r="G93" s="93">
        <v>46724</v>
      </c>
      <c r="H93" s="93">
        <v>46738</v>
      </c>
      <c r="I93" s="94">
        <v>1.9479452054794522</v>
      </c>
      <c r="J93" s="95">
        <v>100</v>
      </c>
      <c r="K93" s="96">
        <v>19.3</v>
      </c>
      <c r="L93" s="97">
        <v>0.90932642487046633</v>
      </c>
      <c r="M93" s="98">
        <v>110.8</v>
      </c>
      <c r="N93" s="99">
        <v>0.21848433048433041</v>
      </c>
      <c r="O93" s="100">
        <v>15389.999999999998</v>
      </c>
      <c r="P93" s="101">
        <v>1</v>
      </c>
      <c r="Q93" s="102">
        <v>6000</v>
      </c>
      <c r="R93" s="101">
        <v>0.56699999999999995</v>
      </c>
      <c r="S93" s="35" t="s">
        <v>27</v>
      </c>
      <c r="T93" s="36"/>
      <c r="U93" s="37"/>
      <c r="V93" s="38" t="str">
        <f t="shared" si="2"/>
        <v>四維航七</v>
      </c>
      <c r="W93" s="39">
        <v>3.0000000000000001E-3</v>
      </c>
    </row>
    <row r="94" spans="1:23" s="5" customFormat="1" ht="18" customHeight="1" x14ac:dyDescent="0.4">
      <c r="A94" s="33" t="s">
        <v>177</v>
      </c>
      <c r="B94" s="87">
        <v>61041</v>
      </c>
      <c r="C94" s="34" t="s">
        <v>62</v>
      </c>
      <c r="D94" s="90" t="s">
        <v>80</v>
      </c>
      <c r="E94" s="91">
        <v>6.0400000000000002E-2</v>
      </c>
      <c r="F94" s="92">
        <v>3.5000000000000003E-2</v>
      </c>
      <c r="G94" s="93">
        <v>46611</v>
      </c>
      <c r="H94" s="93">
        <v>46625</v>
      </c>
      <c r="I94" s="94">
        <v>1.6383561643835616</v>
      </c>
      <c r="J94" s="95">
        <v>100</v>
      </c>
      <c r="K94" s="96">
        <v>124.8</v>
      </c>
      <c r="L94" s="97">
        <v>0.75320512820512819</v>
      </c>
      <c r="M94" s="98">
        <v>107</v>
      </c>
      <c r="N94" s="99">
        <v>0.42059574468085109</v>
      </c>
      <c r="O94" s="100">
        <v>13040.000000000002</v>
      </c>
      <c r="P94" s="101">
        <v>0.87360000000000004</v>
      </c>
      <c r="Q94" s="102">
        <v>5000</v>
      </c>
      <c r="R94" s="101">
        <v>0.56599999999999995</v>
      </c>
      <c r="S94" s="35" t="s">
        <v>28</v>
      </c>
      <c r="T94" s="36" t="s">
        <v>3</v>
      </c>
      <c r="U94" s="37"/>
      <c r="V94" s="38" t="str">
        <f t="shared" si="2"/>
        <v>創惟一</v>
      </c>
      <c r="W94" s="39">
        <v>3.0000000000000001E-3</v>
      </c>
    </row>
    <row r="95" spans="1:23" s="5" customFormat="1" ht="17.25" customHeight="1" x14ac:dyDescent="0.4">
      <c r="A95" s="33" t="s">
        <v>178</v>
      </c>
      <c r="B95" s="87">
        <v>61263</v>
      </c>
      <c r="C95" s="34" t="s">
        <v>62</v>
      </c>
      <c r="D95" s="90" t="s">
        <v>71</v>
      </c>
      <c r="E95" s="91">
        <v>3.9100000000000003E-2</v>
      </c>
      <c r="F95" s="92">
        <v>0.04</v>
      </c>
      <c r="G95" s="93">
        <v>46342</v>
      </c>
      <c r="H95" s="93">
        <v>46356</v>
      </c>
      <c r="I95" s="94">
        <v>0.90136986301369859</v>
      </c>
      <c r="J95" s="95">
        <v>100</v>
      </c>
      <c r="K95" s="96">
        <v>26.8</v>
      </c>
      <c r="L95" s="97">
        <v>1.1865671641791045</v>
      </c>
      <c r="M95" s="98">
        <v>122</v>
      </c>
      <c r="N95" s="99">
        <v>2.817610062893084E-2</v>
      </c>
      <c r="O95" s="100">
        <v>25910</v>
      </c>
      <c r="P95" s="101">
        <v>0.39800000000000002</v>
      </c>
      <c r="Q95" s="102">
        <v>5000</v>
      </c>
      <c r="R95" s="101">
        <v>0.44900000000000001</v>
      </c>
      <c r="S95" s="35" t="s">
        <v>28</v>
      </c>
      <c r="T95" s="36"/>
      <c r="U95" s="37"/>
      <c r="V95" s="38" t="str">
        <f t="shared" si="2"/>
        <v>信音三</v>
      </c>
      <c r="W95" s="39">
        <v>3.0000000000000001E-3</v>
      </c>
    </row>
    <row r="96" spans="1:23" s="5" customFormat="1" ht="18" customHeight="1" x14ac:dyDescent="0.4">
      <c r="A96" s="33" t="s">
        <v>179</v>
      </c>
      <c r="B96" s="87">
        <v>61777</v>
      </c>
      <c r="C96" s="34" t="s">
        <v>62</v>
      </c>
      <c r="D96" s="90" t="s">
        <v>69</v>
      </c>
      <c r="E96" s="91">
        <v>5.6400000000000006E-2</v>
      </c>
      <c r="F96" s="92">
        <v>0.05</v>
      </c>
      <c r="G96" s="93">
        <v>46549</v>
      </c>
      <c r="H96" s="93">
        <v>46563</v>
      </c>
      <c r="I96" s="94">
        <v>1.4684931506849315</v>
      </c>
      <c r="J96" s="95">
        <v>102.01</v>
      </c>
      <c r="K96" s="96">
        <v>46.1</v>
      </c>
      <c r="L96" s="97">
        <v>1.140997830802603</v>
      </c>
      <c r="M96" s="98">
        <v>119</v>
      </c>
      <c r="N96" s="99">
        <v>4.2946768060836582E-2</v>
      </c>
      <c r="O96" s="100">
        <v>24640</v>
      </c>
      <c r="P96" s="101">
        <v>1</v>
      </c>
      <c r="Q96" s="102">
        <v>6000</v>
      </c>
      <c r="R96" s="101">
        <v>0.21099999999999999</v>
      </c>
      <c r="S96" s="35" t="s">
        <v>28</v>
      </c>
      <c r="T96" s="36"/>
      <c r="U96" s="37"/>
      <c r="V96" s="38" t="str">
        <f t="shared" si="2"/>
        <v>達麗七</v>
      </c>
      <c r="W96" s="39">
        <v>3.0000000000000001E-3</v>
      </c>
    </row>
    <row r="97" spans="1:23" s="5" customFormat="1" ht="18" customHeight="1" x14ac:dyDescent="0.4">
      <c r="A97" s="33" t="s">
        <v>180</v>
      </c>
      <c r="B97" s="87">
        <v>61843</v>
      </c>
      <c r="C97" s="34" t="s">
        <v>62</v>
      </c>
      <c r="D97" s="90" t="e">
        <v>#N/A</v>
      </c>
      <c r="E97" s="91">
        <v>2.87E-2</v>
      </c>
      <c r="F97" s="92">
        <v>3.5000000000000003E-2</v>
      </c>
      <c r="G97" s="93">
        <v>46440</v>
      </c>
      <c r="H97" s="93">
        <v>46452</v>
      </c>
      <c r="I97" s="94">
        <v>1.1643835616438356</v>
      </c>
      <c r="J97" s="95">
        <v>101.50749999999999</v>
      </c>
      <c r="K97" s="96">
        <v>49.4</v>
      </c>
      <c r="L97" s="97">
        <v>0.97874493927125517</v>
      </c>
      <c r="M97" s="98">
        <v>100.1</v>
      </c>
      <c r="N97" s="99">
        <v>2.2738366080661706E-2</v>
      </c>
      <c r="O97" s="100">
        <v>2969.9999999999941</v>
      </c>
      <c r="P97" s="101">
        <v>0.871</v>
      </c>
      <c r="Q97" s="102">
        <v>15000</v>
      </c>
      <c r="R97" s="101">
        <v>0.129</v>
      </c>
      <c r="S97" s="35" t="s">
        <v>28</v>
      </c>
      <c r="T97" s="36"/>
      <c r="U97" s="37"/>
      <c r="V97" s="38" t="str">
        <f t="shared" si="2"/>
        <v>大豐電三</v>
      </c>
      <c r="W97" s="39">
        <v>3.0000000000000001E-3</v>
      </c>
    </row>
    <row r="98" spans="1:23" s="5" customFormat="1" ht="17.149999999999999" customHeight="1" x14ac:dyDescent="0.4">
      <c r="A98" s="33" t="s">
        <v>181</v>
      </c>
      <c r="B98" s="87">
        <v>61894</v>
      </c>
      <c r="C98" s="34" t="s">
        <v>62</v>
      </c>
      <c r="D98" s="90" t="s">
        <v>63</v>
      </c>
      <c r="E98" s="91">
        <v>1.7499999999999998E-2</v>
      </c>
      <c r="F98" s="92">
        <v>2.5999999999999999E-2</v>
      </c>
      <c r="G98" s="93">
        <v>46322</v>
      </c>
      <c r="H98" s="93">
        <v>46336</v>
      </c>
      <c r="I98" s="94">
        <v>0.84657534246575339</v>
      </c>
      <c r="J98" s="95">
        <v>100.75190000000001</v>
      </c>
      <c r="K98" s="96">
        <v>43.14</v>
      </c>
      <c r="L98" s="97">
        <v>1.0292072322670376</v>
      </c>
      <c r="M98" s="98">
        <v>118</v>
      </c>
      <c r="N98" s="99">
        <v>0.14651351351351349</v>
      </c>
      <c r="O98" s="100">
        <v>19749.999999999996</v>
      </c>
      <c r="P98" s="101">
        <v>0.24959999999999999</v>
      </c>
      <c r="Q98" s="102">
        <v>5000</v>
      </c>
      <c r="R98" s="101">
        <v>0.24099999999999999</v>
      </c>
      <c r="S98" s="35" t="s">
        <v>27</v>
      </c>
      <c r="T98" s="36"/>
      <c r="U98" s="37"/>
      <c r="V98" s="38" t="str">
        <f t="shared" si="2"/>
        <v>豐藝四</v>
      </c>
      <c r="W98" s="39">
        <v>3.0000000000000001E-3</v>
      </c>
    </row>
    <row r="99" spans="1:23" s="5" customFormat="1" ht="17.25" customHeight="1" x14ac:dyDescent="0.4">
      <c r="A99" s="33" t="s">
        <v>182</v>
      </c>
      <c r="B99" s="87">
        <v>61907</v>
      </c>
      <c r="C99" s="34" t="s">
        <v>62</v>
      </c>
      <c r="D99" s="90" t="s">
        <v>71</v>
      </c>
      <c r="E99" s="91">
        <v>0.1095</v>
      </c>
      <c r="F99" s="92">
        <v>3.7499999999999999E-2</v>
      </c>
      <c r="G99" s="93">
        <v>47049</v>
      </c>
      <c r="H99" s="93">
        <v>47063</v>
      </c>
      <c r="I99" s="94">
        <v>2.8383561643835615</v>
      </c>
      <c r="J99" s="95">
        <v>100</v>
      </c>
      <c r="K99" s="96">
        <v>41.7</v>
      </c>
      <c r="L99" s="97">
        <v>1.0719424460431655</v>
      </c>
      <c r="M99" s="98">
        <v>125.5</v>
      </c>
      <c r="N99" s="99">
        <v>0.17077181208053685</v>
      </c>
      <c r="O99" s="100">
        <v>36450</v>
      </c>
      <c r="P99" s="101">
        <v>1</v>
      </c>
      <c r="Q99" s="102">
        <v>10000</v>
      </c>
      <c r="R99" s="101">
        <v>0.44</v>
      </c>
      <c r="S99" s="35" t="s">
        <v>27</v>
      </c>
      <c r="T99" s="36"/>
      <c r="U99" s="37"/>
      <c r="V99" s="38" t="str">
        <f t="shared" si="2"/>
        <v>萬泰科七</v>
      </c>
      <c r="W99" s="39">
        <v>3.0000000000000001E-3</v>
      </c>
    </row>
    <row r="100" spans="1:23" s="5" customFormat="1" ht="17.149999999999999" customHeight="1" x14ac:dyDescent="0.4">
      <c r="A100" s="33" t="s">
        <v>183</v>
      </c>
      <c r="B100" s="87">
        <v>61973</v>
      </c>
      <c r="C100" s="34" t="s">
        <v>62</v>
      </c>
      <c r="D100" s="90" t="s">
        <v>80</v>
      </c>
      <c r="E100" s="91">
        <v>5.8100000000000006E-2</v>
      </c>
      <c r="F100" s="92">
        <v>3.1E-2</v>
      </c>
      <c r="G100" s="93">
        <v>46661</v>
      </c>
      <c r="H100" s="93">
        <v>46675</v>
      </c>
      <c r="I100" s="94">
        <v>1.7753424657534247</v>
      </c>
      <c r="J100" s="95">
        <v>100</v>
      </c>
      <c r="K100" s="96">
        <v>152</v>
      </c>
      <c r="L100" s="97">
        <v>1.0032894736842106</v>
      </c>
      <c r="M100" s="98">
        <v>127.05</v>
      </c>
      <c r="N100" s="99">
        <v>0.26633442622950798</v>
      </c>
      <c r="O100" s="100">
        <v>32859.999999999993</v>
      </c>
      <c r="P100" s="101">
        <v>1</v>
      </c>
      <c r="Q100" s="102">
        <v>10000</v>
      </c>
      <c r="R100" s="101">
        <v>0.34599999999999997</v>
      </c>
      <c r="S100" s="35" t="s">
        <v>28</v>
      </c>
      <c r="T100" s="36"/>
      <c r="U100" s="37"/>
      <c r="V100" s="38" t="str">
        <f t="shared" si="2"/>
        <v>佳必琪三</v>
      </c>
      <c r="W100" s="39">
        <v>3.0000000000000001E-3</v>
      </c>
    </row>
    <row r="101" spans="1:23" s="5" customFormat="1" ht="17.149999999999999" customHeight="1" x14ac:dyDescent="0.4">
      <c r="A101" s="33" t="s">
        <v>184</v>
      </c>
      <c r="B101" s="87">
        <v>62093</v>
      </c>
      <c r="C101" s="34" t="s">
        <v>130</v>
      </c>
      <c r="D101" s="90" t="s">
        <v>69</v>
      </c>
      <c r="E101" s="91">
        <v>6.4600000000000005E-2</v>
      </c>
      <c r="F101" s="92">
        <v>2.1999999999999999E-2</v>
      </c>
      <c r="G101" s="93">
        <v>47035</v>
      </c>
      <c r="H101" s="93">
        <v>47049</v>
      </c>
      <c r="I101" s="94">
        <v>2.8</v>
      </c>
      <c r="J101" s="95">
        <v>100</v>
      </c>
      <c r="K101" s="96">
        <v>38.6</v>
      </c>
      <c r="L101" s="97">
        <v>1.7202072538860105</v>
      </c>
      <c r="M101" s="98">
        <v>171</v>
      </c>
      <c r="N101" s="99">
        <v>-5.933734939759119E-3</v>
      </c>
      <c r="O101" s="100">
        <v>77460</v>
      </c>
      <c r="P101" s="101">
        <v>1</v>
      </c>
      <c r="Q101" s="102">
        <v>4500</v>
      </c>
      <c r="R101" s="101">
        <v>0.53400000000000003</v>
      </c>
      <c r="S101" s="35" t="s">
        <v>28</v>
      </c>
      <c r="T101" s="36"/>
      <c r="U101" s="37"/>
      <c r="V101" s="38" t="str">
        <f t="shared" si="2"/>
        <v>今國光三</v>
      </c>
      <c r="W101" s="39">
        <v>3.0000000000000001E-3</v>
      </c>
    </row>
    <row r="102" spans="1:23" s="5" customFormat="1" ht="17.25" customHeight="1" x14ac:dyDescent="0.4">
      <c r="A102" s="33" t="s">
        <v>185</v>
      </c>
      <c r="B102" s="87">
        <v>62194</v>
      </c>
      <c r="C102" s="34" t="s">
        <v>167</v>
      </c>
      <c r="D102" s="90" t="s">
        <v>108</v>
      </c>
      <c r="E102" s="91">
        <v>5.6700000000000007E-2</v>
      </c>
      <c r="F102" s="92">
        <v>2.1999999999999999E-2</v>
      </c>
      <c r="G102" s="93">
        <v>47028</v>
      </c>
      <c r="H102" s="93">
        <v>47042</v>
      </c>
      <c r="I102" s="94">
        <v>2.7808219178082192</v>
      </c>
      <c r="J102" s="95">
        <v>100.75190000000001</v>
      </c>
      <c r="K102" s="96">
        <v>21.17</v>
      </c>
      <c r="L102" s="97">
        <v>0.94709494567784591</v>
      </c>
      <c r="M102" s="98">
        <v>112.45</v>
      </c>
      <c r="N102" s="99">
        <v>0.1873149625935164</v>
      </c>
      <c r="O102" s="100">
        <v>18120.000000000004</v>
      </c>
      <c r="P102" s="101">
        <v>1</v>
      </c>
      <c r="Q102" s="102">
        <v>6000</v>
      </c>
      <c r="R102" s="101">
        <v>0.254</v>
      </c>
      <c r="S102" s="35" t="s">
        <v>27</v>
      </c>
      <c r="T102" s="36"/>
      <c r="U102" s="37"/>
      <c r="V102" s="38" t="str">
        <f t="shared" si="2"/>
        <v>富旺四</v>
      </c>
      <c r="W102" s="39">
        <v>3.0000000000000001E-3</v>
      </c>
    </row>
    <row r="103" spans="1:23" s="5" customFormat="1" ht="17.25" customHeight="1" x14ac:dyDescent="0.4">
      <c r="A103" s="33" t="s">
        <v>186</v>
      </c>
      <c r="B103" s="87">
        <v>62745</v>
      </c>
      <c r="C103" s="34" t="s">
        <v>62</v>
      </c>
      <c r="D103" s="90" t="s">
        <v>63</v>
      </c>
      <c r="E103" s="91">
        <v>7.1600000000000011E-2</v>
      </c>
      <c r="F103" s="92">
        <v>2.4E-2</v>
      </c>
      <c r="G103" s="93">
        <v>47056</v>
      </c>
      <c r="H103" s="93">
        <v>47070</v>
      </c>
      <c r="I103" s="94">
        <v>2.8575342465753426</v>
      </c>
      <c r="J103" s="95">
        <v>100</v>
      </c>
      <c r="K103" s="96">
        <v>386</v>
      </c>
      <c r="L103" s="97">
        <v>1.2474093264248705</v>
      </c>
      <c r="M103" s="98">
        <v>138.4</v>
      </c>
      <c r="N103" s="99">
        <v>0.10949948078920041</v>
      </c>
      <c r="O103" s="100">
        <v>45560.000000000007</v>
      </c>
      <c r="P103" s="101">
        <v>1</v>
      </c>
      <c r="Q103" s="102">
        <v>40000</v>
      </c>
      <c r="R103" s="101">
        <v>0.56599999999999995</v>
      </c>
      <c r="S103" s="35" t="s">
        <v>27</v>
      </c>
      <c r="T103" s="36"/>
      <c r="U103" s="37"/>
      <c r="V103" s="38" t="str">
        <f t="shared" si="2"/>
        <v>台燿五</v>
      </c>
      <c r="W103" s="39">
        <v>3.0000000000000001E-3</v>
      </c>
    </row>
    <row r="104" spans="1:23" s="5" customFormat="1" ht="17.149999999999999" customHeight="1" x14ac:dyDescent="0.4">
      <c r="A104" s="33" t="s">
        <v>187</v>
      </c>
      <c r="B104" s="87">
        <v>62822</v>
      </c>
      <c r="C104" s="34" t="s">
        <v>62</v>
      </c>
      <c r="D104" s="90" t="s">
        <v>80</v>
      </c>
      <c r="E104" s="91">
        <v>1.61E-2</v>
      </c>
      <c r="F104" s="92">
        <v>0.03</v>
      </c>
      <c r="G104" s="93">
        <v>46174</v>
      </c>
      <c r="H104" s="93">
        <v>46186</v>
      </c>
      <c r="I104" s="94">
        <v>0.43561643835616437</v>
      </c>
      <c r="J104" s="95">
        <v>100</v>
      </c>
      <c r="K104" s="96">
        <v>46.1</v>
      </c>
      <c r="L104" s="97">
        <v>0.95010845986984804</v>
      </c>
      <c r="M104" s="98">
        <v>114.8</v>
      </c>
      <c r="N104" s="99">
        <v>0.20828310502283115</v>
      </c>
      <c r="O104" s="100">
        <v>16409.999999999996</v>
      </c>
      <c r="P104" s="101">
        <v>1</v>
      </c>
      <c r="Q104" s="102">
        <v>40000</v>
      </c>
      <c r="R104" s="101">
        <v>0.44700000000000001</v>
      </c>
      <c r="S104" s="35" t="s">
        <v>28</v>
      </c>
      <c r="T104" s="36"/>
      <c r="U104" s="37"/>
      <c r="V104" s="38" t="str">
        <f t="shared" si="2"/>
        <v>康舒二</v>
      </c>
      <c r="W104" s="39">
        <v>3.0000000000000001E-3</v>
      </c>
    </row>
    <row r="105" spans="1:23" s="5" customFormat="1" ht="17.149999999999999" customHeight="1" x14ac:dyDescent="0.4">
      <c r="A105" s="33" t="s">
        <v>188</v>
      </c>
      <c r="B105" s="87">
        <v>62843</v>
      </c>
      <c r="C105" s="34" t="s">
        <v>62</v>
      </c>
      <c r="D105" s="90" t="s">
        <v>63</v>
      </c>
      <c r="E105" s="91">
        <v>2.75E-2</v>
      </c>
      <c r="F105" s="92">
        <v>2.5999999999999999E-2</v>
      </c>
      <c r="G105" s="93">
        <v>46356</v>
      </c>
      <c r="H105" s="93">
        <v>46370</v>
      </c>
      <c r="I105" s="94">
        <v>0.9397260273972603</v>
      </c>
      <c r="J105" s="95">
        <v>100</v>
      </c>
      <c r="K105" s="96">
        <v>86.6</v>
      </c>
      <c r="L105" s="97">
        <v>0.968822170900693</v>
      </c>
      <c r="M105" s="98">
        <v>117.8</v>
      </c>
      <c r="N105" s="99">
        <v>0.21590941597139424</v>
      </c>
      <c r="O105" s="100">
        <v>20549.999999999996</v>
      </c>
      <c r="P105" s="101">
        <v>1</v>
      </c>
      <c r="Q105" s="102">
        <v>7000</v>
      </c>
      <c r="R105" s="101">
        <v>0.308</v>
      </c>
      <c r="S105" s="35" t="s">
        <v>27</v>
      </c>
      <c r="T105" s="36"/>
      <c r="U105" s="37"/>
      <c r="V105" s="38" t="str">
        <f t="shared" si="2"/>
        <v>佳邦三</v>
      </c>
      <c r="W105" s="39">
        <v>3.0000000000000001E-3</v>
      </c>
    </row>
    <row r="106" spans="1:23" s="5" customFormat="1" ht="17.25" customHeight="1" x14ac:dyDescent="0.4">
      <c r="A106" s="33" t="s">
        <v>189</v>
      </c>
      <c r="B106" s="87">
        <v>629010</v>
      </c>
      <c r="C106" s="34" t="s">
        <v>62</v>
      </c>
      <c r="D106" s="90" t="s">
        <v>80</v>
      </c>
      <c r="E106" s="91">
        <v>4.1900000000000007E-2</v>
      </c>
      <c r="F106" s="92">
        <v>3.2500000000000001E-2</v>
      </c>
      <c r="G106" s="93">
        <v>46506</v>
      </c>
      <c r="H106" s="93">
        <v>46520</v>
      </c>
      <c r="I106" s="94">
        <v>1.3506849315068492</v>
      </c>
      <c r="J106" s="95">
        <v>100.500625</v>
      </c>
      <c r="K106" s="96">
        <v>75.900000000000006</v>
      </c>
      <c r="L106" s="97">
        <v>2.4505928853754937</v>
      </c>
      <c r="M106" s="98">
        <v>250</v>
      </c>
      <c r="N106" s="99">
        <v>2.0161290322580766E-2</v>
      </c>
      <c r="O106" s="100">
        <v>154190</v>
      </c>
      <c r="P106" s="101">
        <v>0.120125</v>
      </c>
      <c r="Q106" s="102">
        <v>8000</v>
      </c>
      <c r="R106" s="101">
        <v>0.50600000000000001</v>
      </c>
      <c r="S106" s="35" t="s">
        <v>28</v>
      </c>
      <c r="T106" s="36"/>
      <c r="U106" s="37"/>
      <c r="V106" s="38" t="str">
        <f t="shared" si="2"/>
        <v>良維十</v>
      </c>
      <c r="W106" s="39">
        <v>3.0000000000000001E-3</v>
      </c>
    </row>
    <row r="107" spans="1:23" s="5" customFormat="1" ht="17.25" customHeight="1" x14ac:dyDescent="0.4">
      <c r="A107" s="33" t="s">
        <v>190</v>
      </c>
      <c r="B107" s="87">
        <v>64145</v>
      </c>
      <c r="C107" s="34" t="s">
        <v>62</v>
      </c>
      <c r="D107" s="90" t="s">
        <v>63</v>
      </c>
      <c r="E107" s="91">
        <v>1.89E-2</v>
      </c>
      <c r="F107" s="92">
        <v>2.5999999999999999E-2</v>
      </c>
      <c r="G107" s="93">
        <v>46237</v>
      </c>
      <c r="H107" s="93">
        <v>46250</v>
      </c>
      <c r="I107" s="94">
        <v>0.61095890410958908</v>
      </c>
      <c r="J107" s="95">
        <v>100</v>
      </c>
      <c r="K107" s="96">
        <v>273.60000000000002</v>
      </c>
      <c r="L107" s="97">
        <v>1.0453216374269005</v>
      </c>
      <c r="M107" s="98">
        <v>114.25</v>
      </c>
      <c r="N107" s="99">
        <v>9.2965034965034957E-2</v>
      </c>
      <c r="O107" s="100">
        <v>16139.999999999998</v>
      </c>
      <c r="P107" s="101">
        <v>0.99990000000000001</v>
      </c>
      <c r="Q107" s="102">
        <v>30000</v>
      </c>
      <c r="R107" s="101">
        <v>0.32600000000000001</v>
      </c>
      <c r="S107" s="35" t="s">
        <v>28</v>
      </c>
      <c r="T107" s="36"/>
      <c r="U107" s="37"/>
      <c r="V107" s="38" t="str">
        <f t="shared" si="2"/>
        <v>樺漢五</v>
      </c>
      <c r="W107" s="39">
        <v>3.0000000000000001E-3</v>
      </c>
    </row>
    <row r="108" spans="1:23" s="5" customFormat="1" ht="17.25" customHeight="1" x14ac:dyDescent="0.4">
      <c r="A108" s="33" t="s">
        <v>191</v>
      </c>
      <c r="B108" s="87">
        <v>64251</v>
      </c>
      <c r="C108" s="34" t="s">
        <v>192</v>
      </c>
      <c r="D108" s="90" t="s">
        <v>66</v>
      </c>
      <c r="E108" s="91">
        <v>4.2100000000000005E-2</v>
      </c>
      <c r="F108" s="92">
        <v>2.1999999999999999E-2</v>
      </c>
      <c r="G108" s="93">
        <v>46661</v>
      </c>
      <c r="H108" s="93">
        <v>46675</v>
      </c>
      <c r="I108" s="94">
        <v>1.7753424657534247</v>
      </c>
      <c r="J108" s="95">
        <v>100</v>
      </c>
      <c r="K108" s="96">
        <v>58.7</v>
      </c>
      <c r="L108" s="97">
        <v>1.3969335604770017</v>
      </c>
      <c r="M108" s="98">
        <v>151</v>
      </c>
      <c r="N108" s="99">
        <v>8.0939024390243849E-2</v>
      </c>
      <c r="O108" s="100">
        <v>55210</v>
      </c>
      <c r="P108" s="101">
        <v>0.3775</v>
      </c>
      <c r="Q108" s="102">
        <v>2000</v>
      </c>
      <c r="R108" s="101">
        <v>0.51800000000000002</v>
      </c>
      <c r="S108" s="35" t="s">
        <v>27</v>
      </c>
      <c r="T108" s="36"/>
      <c r="U108" s="37"/>
      <c r="V108" s="38" t="str">
        <f t="shared" si="2"/>
        <v>易發一</v>
      </c>
      <c r="W108" s="39">
        <v>3.0000000000000001E-3</v>
      </c>
    </row>
    <row r="109" spans="1:23" s="5" customFormat="1" ht="17.25" customHeight="1" x14ac:dyDescent="0.4">
      <c r="A109" s="33" t="s">
        <v>193</v>
      </c>
      <c r="B109" s="87">
        <v>64422</v>
      </c>
      <c r="C109" s="34" t="s">
        <v>62</v>
      </c>
      <c r="D109" s="90" t="s">
        <v>80</v>
      </c>
      <c r="E109" s="91">
        <v>6.0200000000000004E-2</v>
      </c>
      <c r="F109" s="92">
        <v>0.03</v>
      </c>
      <c r="G109" s="93">
        <v>46708</v>
      </c>
      <c r="H109" s="93">
        <v>46722</v>
      </c>
      <c r="I109" s="94">
        <v>1.904109589041096</v>
      </c>
      <c r="J109" s="95">
        <v>100</v>
      </c>
      <c r="K109" s="96">
        <v>1103.5</v>
      </c>
      <c r="L109" s="97">
        <v>1.2505663797009514</v>
      </c>
      <c r="M109" s="98">
        <v>139.05000000000001</v>
      </c>
      <c r="N109" s="99">
        <v>0.11189619565217412</v>
      </c>
      <c r="O109" s="100">
        <v>45070.000000000007</v>
      </c>
      <c r="P109" s="101">
        <v>1</v>
      </c>
      <c r="Q109" s="102">
        <v>10000</v>
      </c>
      <c r="R109" s="101">
        <v>0.78800000000000003</v>
      </c>
      <c r="S109" s="35" t="s">
        <v>28</v>
      </c>
      <c r="T109" s="36"/>
      <c r="U109" s="37"/>
      <c r="V109" s="38" t="str">
        <f t="shared" si="2"/>
        <v>光聖二</v>
      </c>
      <c r="W109" s="39">
        <v>3.0000000000000001E-3</v>
      </c>
    </row>
    <row r="110" spans="1:23" s="5" customFormat="1" ht="17.25" customHeight="1" x14ac:dyDescent="0.4">
      <c r="A110" s="33" t="s">
        <v>194</v>
      </c>
      <c r="B110" s="87">
        <v>64423</v>
      </c>
      <c r="C110" s="34" t="s">
        <v>62</v>
      </c>
      <c r="D110" s="90" t="s">
        <v>80</v>
      </c>
      <c r="E110" s="91">
        <v>6.1000000000000006E-2</v>
      </c>
      <c r="F110" s="92">
        <v>0.03</v>
      </c>
      <c r="G110" s="93">
        <v>46720</v>
      </c>
      <c r="H110" s="93">
        <v>46732</v>
      </c>
      <c r="I110" s="94">
        <v>1.9315068493150684</v>
      </c>
      <c r="J110" s="95">
        <v>100</v>
      </c>
      <c r="K110" s="96">
        <v>1065.9000000000001</v>
      </c>
      <c r="L110" s="97">
        <v>1.2946805516464961</v>
      </c>
      <c r="M110" s="98">
        <v>142.19999999999999</v>
      </c>
      <c r="N110" s="99">
        <v>9.8340434782608552E-2</v>
      </c>
      <c r="O110" s="100">
        <v>48299.999999999985</v>
      </c>
      <c r="P110" s="101">
        <v>1</v>
      </c>
      <c r="Q110" s="102">
        <v>15000</v>
      </c>
      <c r="R110" s="101">
        <v>0.78800000000000003</v>
      </c>
      <c r="S110" s="35" t="s">
        <v>28</v>
      </c>
      <c r="T110" s="36"/>
      <c r="U110" s="37"/>
      <c r="V110" s="38" t="str">
        <f t="shared" si="2"/>
        <v>光聖三</v>
      </c>
      <c r="W110" s="39">
        <v>3.0000000000000001E-3</v>
      </c>
    </row>
    <row r="111" spans="1:23" s="5" customFormat="1" ht="17.25" customHeight="1" x14ac:dyDescent="0.4">
      <c r="A111" s="33" t="s">
        <v>36</v>
      </c>
      <c r="B111" s="87">
        <v>64693</v>
      </c>
      <c r="C111" s="34" t="s">
        <v>62</v>
      </c>
      <c r="D111" s="90" t="s">
        <v>63</v>
      </c>
      <c r="E111" s="91">
        <v>7.4800000000000005E-2</v>
      </c>
      <c r="F111" s="92">
        <v>2.8000000000000001E-2</v>
      </c>
      <c r="G111" s="93">
        <v>46948</v>
      </c>
      <c r="H111" s="93">
        <v>46962</v>
      </c>
      <c r="I111" s="94">
        <v>2.5616438356164384</v>
      </c>
      <c r="J111" s="95">
        <v>100</v>
      </c>
      <c r="K111" s="96">
        <v>132.53</v>
      </c>
      <c r="L111" s="97">
        <v>0.71153701048819129</v>
      </c>
      <c r="M111" s="98">
        <v>101.3</v>
      </c>
      <c r="N111" s="99">
        <v>0.4236785790031814</v>
      </c>
      <c r="O111" s="100">
        <v>8779.9999999999982</v>
      </c>
      <c r="P111" s="101">
        <v>1</v>
      </c>
      <c r="Q111" s="102">
        <v>10000</v>
      </c>
      <c r="R111" s="101">
        <v>0.22800000000000001</v>
      </c>
      <c r="S111" s="35" t="s">
        <v>28</v>
      </c>
      <c r="T111" s="36"/>
      <c r="U111" s="37"/>
      <c r="V111" s="38" t="str">
        <f t="shared" si="2"/>
        <v>大樹三</v>
      </c>
      <c r="W111" s="39">
        <v>3.0000000000000001E-3</v>
      </c>
    </row>
    <row r="112" spans="1:23" s="5" customFormat="1" ht="17.25" customHeight="1" x14ac:dyDescent="0.4">
      <c r="A112" s="33" t="s">
        <v>195</v>
      </c>
      <c r="B112" s="87">
        <v>65521</v>
      </c>
      <c r="C112" s="34" t="s">
        <v>124</v>
      </c>
      <c r="D112" s="90" t="s">
        <v>69</v>
      </c>
      <c r="E112" s="91">
        <v>2.07E-2</v>
      </c>
      <c r="F112" s="92">
        <v>2.1999999999999999E-2</v>
      </c>
      <c r="G112" s="93">
        <v>46307</v>
      </c>
      <c r="H112" s="93">
        <v>46320</v>
      </c>
      <c r="I112" s="94">
        <v>0.80273972602739729</v>
      </c>
      <c r="J112" s="95">
        <v>100</v>
      </c>
      <c r="K112" s="96">
        <v>58.8</v>
      </c>
      <c r="L112" s="97">
        <v>0.429421768707483</v>
      </c>
      <c r="M112" s="98">
        <v>99.9</v>
      </c>
      <c r="N112" s="99">
        <v>1.3263841584158418</v>
      </c>
      <c r="O112" s="100">
        <v>1970.0000000000057</v>
      </c>
      <c r="P112" s="101">
        <v>1</v>
      </c>
      <c r="Q112" s="102">
        <v>5000</v>
      </c>
      <c r="R112" s="101">
        <v>0.29199999999999998</v>
      </c>
      <c r="S112" s="35" t="s">
        <v>27</v>
      </c>
      <c r="T112" s="36"/>
      <c r="U112" s="40"/>
      <c r="V112" s="38" t="str">
        <f t="shared" si="2"/>
        <v>易華電一</v>
      </c>
      <c r="W112" s="39">
        <v>3.0000000000000001E-3</v>
      </c>
    </row>
    <row r="113" spans="1:23" s="5" customFormat="1" ht="17.25" customHeight="1" x14ac:dyDescent="0.4">
      <c r="A113" s="33" t="s">
        <v>37</v>
      </c>
      <c r="B113" s="87">
        <v>65841</v>
      </c>
      <c r="C113" s="34" t="s">
        <v>159</v>
      </c>
      <c r="D113" s="90" t="s">
        <v>71</v>
      </c>
      <c r="E113" s="91">
        <v>1.09E-2</v>
      </c>
      <c r="F113" s="92">
        <v>2.1999999999999999E-2</v>
      </c>
      <c r="G113" s="93">
        <v>46310</v>
      </c>
      <c r="H113" s="93">
        <v>46324</v>
      </c>
      <c r="I113" s="94">
        <v>0.81369863013698629</v>
      </c>
      <c r="J113" s="95">
        <v>101.0025</v>
      </c>
      <c r="K113" s="96">
        <v>177.5</v>
      </c>
      <c r="L113" s="97">
        <v>1.8394366197183099</v>
      </c>
      <c r="M113" s="98">
        <v>185</v>
      </c>
      <c r="N113" s="99">
        <v>5.7427258805513495E-3</v>
      </c>
      <c r="O113" s="100">
        <v>86090</v>
      </c>
      <c r="P113" s="101">
        <v>0.23685714285714285</v>
      </c>
      <c r="Q113" s="102">
        <v>7000</v>
      </c>
      <c r="R113" s="101">
        <v>0.80500000000000005</v>
      </c>
      <c r="S113" s="35" t="s">
        <v>27</v>
      </c>
      <c r="T113" s="36"/>
      <c r="U113" s="40"/>
      <c r="V113" s="38" t="str">
        <f t="shared" si="2"/>
        <v>南俊國際一</v>
      </c>
      <c r="W113" s="39">
        <v>3.0000000000000001E-3</v>
      </c>
    </row>
    <row r="114" spans="1:23" s="5" customFormat="1" ht="17.25" customHeight="1" x14ac:dyDescent="0.4">
      <c r="A114" s="33" t="s">
        <v>196</v>
      </c>
      <c r="B114" s="87">
        <v>65851</v>
      </c>
      <c r="C114" s="34" t="s">
        <v>144</v>
      </c>
      <c r="D114" s="90" t="s">
        <v>80</v>
      </c>
      <c r="E114" s="91">
        <v>2.0799999999999999E-2</v>
      </c>
      <c r="F114" s="92">
        <v>2.1999999999999999E-2</v>
      </c>
      <c r="G114" s="93">
        <v>46307</v>
      </c>
      <c r="H114" s="93">
        <v>46321</v>
      </c>
      <c r="I114" s="94">
        <v>0.80547945205479454</v>
      </c>
      <c r="J114" s="95">
        <v>100</v>
      </c>
      <c r="K114" s="96">
        <v>110.9</v>
      </c>
      <c r="L114" s="97">
        <v>0.79531109107303877</v>
      </c>
      <c r="M114" s="98">
        <v>105.8</v>
      </c>
      <c r="N114" s="99">
        <v>0.33029705215419497</v>
      </c>
      <c r="O114" s="100">
        <v>7879.9999999999964</v>
      </c>
      <c r="P114" s="101">
        <v>0.54620000000000002</v>
      </c>
      <c r="Q114" s="102">
        <v>5000</v>
      </c>
      <c r="R114" s="101">
        <v>0.30199999999999999</v>
      </c>
      <c r="S114" s="35" t="s">
        <v>27</v>
      </c>
      <c r="T114" s="36"/>
      <c r="U114" s="40"/>
      <c r="V114" s="38" t="str">
        <f t="shared" si="2"/>
        <v>鼎基一</v>
      </c>
      <c r="W114" s="39">
        <v>3.0000000000000001E-3</v>
      </c>
    </row>
    <row r="115" spans="1:23" s="5" customFormat="1" ht="17.25" customHeight="1" x14ac:dyDescent="0.4">
      <c r="A115" s="33" t="s">
        <v>197</v>
      </c>
      <c r="B115" s="87">
        <v>66241</v>
      </c>
      <c r="C115" s="34" t="s">
        <v>115</v>
      </c>
      <c r="D115" s="90" t="s">
        <v>69</v>
      </c>
      <c r="E115" s="91">
        <v>2.8499999999999998E-2</v>
      </c>
      <c r="F115" s="92">
        <v>2.1999999999999999E-2</v>
      </c>
      <c r="G115" s="93">
        <v>46559</v>
      </c>
      <c r="H115" s="93">
        <v>46573</v>
      </c>
      <c r="I115" s="94">
        <v>1.4958904109589042</v>
      </c>
      <c r="J115" s="95">
        <v>100.75</v>
      </c>
      <c r="K115" s="96">
        <v>40.6</v>
      </c>
      <c r="L115" s="97">
        <v>1.6133004926108372</v>
      </c>
      <c r="M115" s="98">
        <v>158</v>
      </c>
      <c r="N115" s="99">
        <v>-2.0641221374045716E-2</v>
      </c>
      <c r="O115" s="100">
        <v>60849.999999999993</v>
      </c>
      <c r="P115" s="101">
        <v>0.374</v>
      </c>
      <c r="Q115" s="102">
        <v>1000</v>
      </c>
      <c r="R115" s="101">
        <v>0.77100000000000002</v>
      </c>
      <c r="S115" s="35" t="s">
        <v>27</v>
      </c>
      <c r="T115" s="36"/>
      <c r="U115" s="40"/>
      <c r="V115" s="38" t="str">
        <f t="shared" si="2"/>
        <v>萬年清一</v>
      </c>
      <c r="W115" s="39">
        <v>3.0000000000000001E-3</v>
      </c>
    </row>
    <row r="116" spans="1:23" s="5" customFormat="1" ht="17.25" customHeight="1" x14ac:dyDescent="0.4">
      <c r="A116" s="33" t="s">
        <v>198</v>
      </c>
      <c r="B116" s="87">
        <v>66642</v>
      </c>
      <c r="C116" s="34" t="s">
        <v>62</v>
      </c>
      <c r="D116" s="90" t="s">
        <v>71</v>
      </c>
      <c r="E116" s="91">
        <v>8.2600000000000007E-2</v>
      </c>
      <c r="F116" s="92">
        <v>4.2500000000000003E-2</v>
      </c>
      <c r="G116" s="93">
        <v>46696</v>
      </c>
      <c r="H116" s="93">
        <v>46710</v>
      </c>
      <c r="I116" s="94">
        <v>1.8712328767123287</v>
      </c>
      <c r="J116" s="95">
        <v>100</v>
      </c>
      <c r="K116" s="96">
        <v>292.10000000000002</v>
      </c>
      <c r="L116" s="97">
        <v>1.0510099281068126</v>
      </c>
      <c r="M116" s="98">
        <v>129</v>
      </c>
      <c r="N116" s="99">
        <v>0.2273908794788275</v>
      </c>
      <c r="O116" s="100">
        <v>37260</v>
      </c>
      <c r="P116" s="101">
        <v>1</v>
      </c>
      <c r="Q116" s="102">
        <v>12500</v>
      </c>
      <c r="R116" s="101">
        <v>0.51700000000000002</v>
      </c>
      <c r="S116" s="35" t="s">
        <v>28</v>
      </c>
      <c r="T116" s="36"/>
      <c r="U116" s="40"/>
      <c r="V116" s="38" t="str">
        <f t="shared" si="2"/>
        <v>群翊二</v>
      </c>
      <c r="W116" s="39">
        <v>3.0000000000000001E-3</v>
      </c>
    </row>
    <row r="117" spans="1:23" s="5" customFormat="1" ht="17.25" customHeight="1" x14ac:dyDescent="0.4">
      <c r="A117" s="41" t="s">
        <v>199</v>
      </c>
      <c r="B117" s="89">
        <v>66702</v>
      </c>
      <c r="C117" s="42" t="s">
        <v>62</v>
      </c>
      <c r="D117" s="104" t="s">
        <v>85</v>
      </c>
      <c r="E117" s="105">
        <v>7.4500000000000011E-2</v>
      </c>
      <c r="F117" s="106">
        <v>2.4E-2</v>
      </c>
      <c r="G117" s="107">
        <v>47099</v>
      </c>
      <c r="H117" s="107">
        <v>47113</v>
      </c>
      <c r="I117" s="108">
        <v>2.9753424657534246</v>
      </c>
      <c r="J117" s="109">
        <v>100</v>
      </c>
      <c r="K117" s="110">
        <v>270</v>
      </c>
      <c r="L117" s="111">
        <v>0.92592592592592593</v>
      </c>
      <c r="M117" s="112">
        <v>110.8</v>
      </c>
      <c r="N117" s="113">
        <v>0.19663999999999993</v>
      </c>
      <c r="O117" s="114">
        <v>18250</v>
      </c>
      <c r="P117" s="115">
        <v>1</v>
      </c>
      <c r="Q117" s="116">
        <v>15000</v>
      </c>
      <c r="R117" s="115">
        <v>0.32400000000000001</v>
      </c>
      <c r="S117" s="43" t="s">
        <v>27</v>
      </c>
      <c r="T117" s="44" t="s">
        <v>32</v>
      </c>
      <c r="U117" s="45" t="s">
        <v>33</v>
      </c>
      <c r="V117" s="38" t="str">
        <f t="shared" si="2"/>
        <v>復盛應用二</v>
      </c>
      <c r="W117" s="39">
        <v>3.0000000000000001E-3</v>
      </c>
    </row>
    <row r="118" spans="1:23" s="5" customFormat="1" ht="17.25" customHeight="1" x14ac:dyDescent="0.4">
      <c r="A118" s="33" t="s">
        <v>200</v>
      </c>
      <c r="B118" s="87">
        <v>67152</v>
      </c>
      <c r="C118" s="34" t="s">
        <v>62</v>
      </c>
      <c r="D118" s="90" t="s">
        <v>80</v>
      </c>
      <c r="E118" s="91">
        <v>3.4099999999999998E-2</v>
      </c>
      <c r="F118" s="92">
        <v>0.03</v>
      </c>
      <c r="G118" s="93">
        <v>46391</v>
      </c>
      <c r="H118" s="93">
        <v>46405</v>
      </c>
      <c r="I118" s="94">
        <v>1.0356164383561643</v>
      </c>
      <c r="J118" s="95">
        <v>100</v>
      </c>
      <c r="K118" s="96">
        <v>157.1</v>
      </c>
      <c r="L118" s="97">
        <v>0.63653723742838964</v>
      </c>
      <c r="M118" s="98">
        <v>103.6</v>
      </c>
      <c r="N118" s="99">
        <v>0.62755599999999978</v>
      </c>
      <c r="O118" s="100">
        <v>7009.9999999999936</v>
      </c>
      <c r="P118" s="101">
        <v>1</v>
      </c>
      <c r="Q118" s="102">
        <v>3000</v>
      </c>
      <c r="R118" s="101">
        <v>0.33</v>
      </c>
      <c r="S118" s="35" t="s">
        <v>28</v>
      </c>
      <c r="T118" s="36"/>
      <c r="U118" s="40"/>
      <c r="V118" s="38" t="str">
        <f t="shared" si="2"/>
        <v>嘉基二</v>
      </c>
      <c r="W118" s="39">
        <v>3.0000000000000001E-3</v>
      </c>
    </row>
    <row r="119" spans="1:23" s="5" customFormat="1" ht="17.25" customHeight="1" x14ac:dyDescent="0.4">
      <c r="A119" s="33" t="s">
        <v>201</v>
      </c>
      <c r="B119" s="87">
        <v>67531</v>
      </c>
      <c r="C119" s="34" t="s">
        <v>62</v>
      </c>
      <c r="D119" s="90" t="s">
        <v>80</v>
      </c>
      <c r="E119" s="91">
        <v>5.0800000000000005E-2</v>
      </c>
      <c r="F119" s="92">
        <v>3.2500000000000001E-2</v>
      </c>
      <c r="G119" s="93">
        <v>46549</v>
      </c>
      <c r="H119" s="93">
        <v>46563</v>
      </c>
      <c r="I119" s="94">
        <v>1.4684931506849315</v>
      </c>
      <c r="J119" s="95">
        <v>100</v>
      </c>
      <c r="K119" s="96">
        <v>116.6</v>
      </c>
      <c r="L119" s="97">
        <v>1.1406518010291595</v>
      </c>
      <c r="M119" s="98">
        <v>128.1</v>
      </c>
      <c r="N119" s="99">
        <v>0.12304210526315791</v>
      </c>
      <c r="O119" s="100">
        <v>33179.999999999993</v>
      </c>
      <c r="P119" s="101">
        <v>0.52170000000000005</v>
      </c>
      <c r="Q119" s="102">
        <v>10000</v>
      </c>
      <c r="R119" s="101">
        <v>0.51</v>
      </c>
      <c r="S119" s="35" t="s">
        <v>28</v>
      </c>
      <c r="T119" s="36"/>
      <c r="U119" s="40"/>
      <c r="V119" s="38" t="str">
        <f t="shared" si="2"/>
        <v>龍德造船一</v>
      </c>
      <c r="W119" s="39">
        <v>3.0000000000000001E-3</v>
      </c>
    </row>
    <row r="120" spans="1:23" s="5" customFormat="1" ht="17.25" customHeight="1" x14ac:dyDescent="0.4">
      <c r="A120" s="33" t="s">
        <v>202</v>
      </c>
      <c r="B120" s="87">
        <v>67681</v>
      </c>
      <c r="C120" s="34" t="s">
        <v>62</v>
      </c>
      <c r="D120" s="90" t="s">
        <v>63</v>
      </c>
      <c r="E120" s="91">
        <v>6.6700000000000009E-2</v>
      </c>
      <c r="F120" s="92">
        <v>3.5000000000000003E-2</v>
      </c>
      <c r="G120" s="93">
        <v>46678</v>
      </c>
      <c r="H120" s="93">
        <v>46691</v>
      </c>
      <c r="I120" s="94">
        <v>1.8191780821917809</v>
      </c>
      <c r="J120" s="95">
        <v>100</v>
      </c>
      <c r="K120" s="96">
        <v>95.2</v>
      </c>
      <c r="L120" s="97">
        <v>1.1081932773109244</v>
      </c>
      <c r="M120" s="98">
        <v>119.3</v>
      </c>
      <c r="N120" s="99">
        <v>7.6527014218009393E-2</v>
      </c>
      <c r="O120" s="100">
        <v>25970</v>
      </c>
      <c r="P120" s="101">
        <v>0.59099999999999997</v>
      </c>
      <c r="Q120" s="102">
        <v>10000</v>
      </c>
      <c r="R120" s="101">
        <v>0.35399999999999998</v>
      </c>
      <c r="S120" s="35" t="s">
        <v>28</v>
      </c>
      <c r="T120" s="36"/>
      <c r="U120" s="40"/>
      <c r="V120" s="38" t="str">
        <f t="shared" si="2"/>
        <v>志強一KY</v>
      </c>
      <c r="W120" s="39">
        <v>3.0000000000000001E-3</v>
      </c>
    </row>
    <row r="121" spans="1:23" s="5" customFormat="1" ht="17.25" customHeight="1" x14ac:dyDescent="0.4">
      <c r="A121" s="33" t="s">
        <v>203</v>
      </c>
      <c r="B121" s="87">
        <v>67711</v>
      </c>
      <c r="C121" s="34" t="s">
        <v>167</v>
      </c>
      <c r="D121" s="90" t="s">
        <v>71</v>
      </c>
      <c r="E121" s="91">
        <v>2.24E-2</v>
      </c>
      <c r="F121" s="92">
        <v>2.1999999999999999E-2</v>
      </c>
      <c r="G121" s="93">
        <v>46503</v>
      </c>
      <c r="H121" s="93">
        <v>46515</v>
      </c>
      <c r="I121" s="94">
        <v>1.3369863013698631</v>
      </c>
      <c r="J121" s="95">
        <v>101.0025</v>
      </c>
      <c r="K121" s="96">
        <v>51.66</v>
      </c>
      <c r="L121" s="97">
        <v>0.8807588075880759</v>
      </c>
      <c r="M121" s="98">
        <v>105.65</v>
      </c>
      <c r="N121" s="99">
        <v>0.19953384615384626</v>
      </c>
      <c r="O121" s="100">
        <v>7890.0000000000055</v>
      </c>
      <c r="P121" s="101">
        <v>1</v>
      </c>
      <c r="Q121" s="102">
        <v>3500</v>
      </c>
      <c r="R121" s="101">
        <v>0.159</v>
      </c>
      <c r="S121" s="35" t="s">
        <v>27</v>
      </c>
      <c r="T121" s="36"/>
      <c r="U121" s="40"/>
      <c r="V121" s="38" t="str">
        <f t="shared" si="2"/>
        <v>平和環保一創</v>
      </c>
      <c r="W121" s="39">
        <v>3.0000000000000001E-3</v>
      </c>
    </row>
    <row r="122" spans="1:23" s="5" customFormat="1" ht="17.25" customHeight="1" x14ac:dyDescent="0.4">
      <c r="A122" s="33" t="s">
        <v>204</v>
      </c>
      <c r="B122" s="87">
        <v>68541</v>
      </c>
      <c r="C122" s="34" t="s">
        <v>130</v>
      </c>
      <c r="D122" s="90" t="s">
        <v>69</v>
      </c>
      <c r="E122" s="91">
        <v>1.8200000000000001E-2</v>
      </c>
      <c r="F122" s="92">
        <v>2.1999999999999999E-2</v>
      </c>
      <c r="G122" s="93">
        <v>46433</v>
      </c>
      <c r="H122" s="93">
        <v>46445</v>
      </c>
      <c r="I122" s="94">
        <v>1.1452054794520548</v>
      </c>
      <c r="J122" s="95">
        <v>101.0025</v>
      </c>
      <c r="K122" s="96">
        <v>248.3</v>
      </c>
      <c r="L122" s="97">
        <v>0.5275875956504229</v>
      </c>
      <c r="M122" s="98">
        <v>104</v>
      </c>
      <c r="N122" s="99">
        <v>0.97123664122137399</v>
      </c>
      <c r="O122" s="100">
        <v>5820</v>
      </c>
      <c r="P122" s="101">
        <v>1</v>
      </c>
      <c r="Q122" s="102">
        <v>8000</v>
      </c>
      <c r="R122" s="101">
        <v>0.46899999999999997</v>
      </c>
      <c r="S122" s="35" t="s">
        <v>27</v>
      </c>
      <c r="T122" s="36"/>
      <c r="U122" s="37"/>
      <c r="V122" s="38" t="str">
        <f t="shared" si="2"/>
        <v>錼創科技一KY創</v>
      </c>
      <c r="W122" s="39">
        <v>3.0000000000000001E-3</v>
      </c>
    </row>
    <row r="123" spans="1:23" s="5" customFormat="1" ht="17.25" customHeight="1" x14ac:dyDescent="0.4">
      <c r="A123" s="33" t="s">
        <v>205</v>
      </c>
      <c r="B123" s="87">
        <v>77131</v>
      </c>
      <c r="C123" s="34" t="s">
        <v>62</v>
      </c>
      <c r="D123" s="90" t="s">
        <v>80</v>
      </c>
      <c r="E123" s="91">
        <v>5.5600000000000004E-2</v>
      </c>
      <c r="F123" s="92">
        <v>3.5000000000000003E-2</v>
      </c>
      <c r="G123" s="93">
        <v>46666</v>
      </c>
      <c r="H123" s="93">
        <v>46680</v>
      </c>
      <c r="I123" s="94">
        <v>1.789041095890411</v>
      </c>
      <c r="J123" s="95">
        <v>101.0025</v>
      </c>
      <c r="K123" s="96">
        <v>73.900000000000006</v>
      </c>
      <c r="L123" s="97">
        <v>0.98511502029769948</v>
      </c>
      <c r="M123" s="98">
        <v>103.5</v>
      </c>
      <c r="N123" s="99">
        <v>5.0638736263736439E-2</v>
      </c>
      <c r="O123" s="100">
        <v>9060.0000000000018</v>
      </c>
      <c r="P123" s="101">
        <v>1</v>
      </c>
      <c r="Q123" s="102">
        <v>5000</v>
      </c>
      <c r="R123" s="101">
        <v>0.157</v>
      </c>
      <c r="S123" s="35" t="s">
        <v>28</v>
      </c>
      <c r="T123" s="36"/>
      <c r="U123" s="40"/>
      <c r="V123" s="38" t="str">
        <f t="shared" ref="V123:V137" si="3">A123</f>
        <v>威力德生醫一</v>
      </c>
      <c r="W123" s="39">
        <v>3.0000000000000001E-3</v>
      </c>
    </row>
    <row r="124" spans="1:23" s="5" customFormat="1" ht="17.25" customHeight="1" x14ac:dyDescent="0.4">
      <c r="A124" s="33" t="s">
        <v>206</v>
      </c>
      <c r="B124" s="87">
        <v>80506</v>
      </c>
      <c r="C124" s="34" t="s">
        <v>62</v>
      </c>
      <c r="D124" s="90" t="s">
        <v>80</v>
      </c>
      <c r="E124" s="91">
        <v>5.9400000000000008E-2</v>
      </c>
      <c r="F124" s="92">
        <v>0.03</v>
      </c>
      <c r="G124" s="93">
        <v>46699</v>
      </c>
      <c r="H124" s="93">
        <v>46713</v>
      </c>
      <c r="I124" s="94">
        <v>1.8794520547945206</v>
      </c>
      <c r="J124" s="95">
        <v>100</v>
      </c>
      <c r="K124" s="96">
        <v>63.3</v>
      </c>
      <c r="L124" s="97">
        <v>0.67693522906793069</v>
      </c>
      <c r="M124" s="98">
        <v>105</v>
      </c>
      <c r="N124" s="99">
        <v>0.55110851808634742</v>
      </c>
      <c r="O124" s="100">
        <v>10940.000000000002</v>
      </c>
      <c r="P124" s="101">
        <v>0.4735625</v>
      </c>
      <c r="Q124" s="102">
        <v>16000</v>
      </c>
      <c r="R124" s="101">
        <v>0.251</v>
      </c>
      <c r="S124" s="35" t="s">
        <v>28</v>
      </c>
      <c r="T124" s="36"/>
      <c r="U124" s="37"/>
      <c r="V124" s="38" t="str">
        <f t="shared" si="3"/>
        <v>廣積六</v>
      </c>
      <c r="W124" s="39">
        <v>3.0000000000000001E-3</v>
      </c>
    </row>
    <row r="125" spans="1:23" s="5" customFormat="1" ht="17.25" customHeight="1" x14ac:dyDescent="0.4">
      <c r="A125" s="33" t="s">
        <v>207</v>
      </c>
      <c r="B125" s="87">
        <v>81551</v>
      </c>
      <c r="C125" s="34" t="s">
        <v>62</v>
      </c>
      <c r="D125" s="90" t="s">
        <v>63</v>
      </c>
      <c r="E125" s="91">
        <v>5.3400000000000003E-2</v>
      </c>
      <c r="F125" s="92">
        <v>2.5000000000000001E-2</v>
      </c>
      <c r="G125" s="93">
        <v>46748</v>
      </c>
      <c r="H125" s="93">
        <v>46762</v>
      </c>
      <c r="I125" s="94">
        <v>2.0136986301369864</v>
      </c>
      <c r="J125" s="95">
        <v>100</v>
      </c>
      <c r="K125" s="96">
        <v>121.6</v>
      </c>
      <c r="L125" s="97">
        <v>1.381578947368421</v>
      </c>
      <c r="M125" s="98">
        <v>140.5</v>
      </c>
      <c r="N125" s="99">
        <v>1.695238095238092E-2</v>
      </c>
      <c r="O125" s="100">
        <v>45840</v>
      </c>
      <c r="P125" s="101">
        <v>0.8054</v>
      </c>
      <c r="Q125" s="102">
        <v>10000</v>
      </c>
      <c r="R125" s="101">
        <v>0.63300000000000001</v>
      </c>
      <c r="S125" s="35" t="s">
        <v>28</v>
      </c>
      <c r="T125" s="36"/>
      <c r="U125" s="40"/>
      <c r="V125" s="38" t="str">
        <f t="shared" si="3"/>
        <v>博智一</v>
      </c>
      <c r="W125" s="39">
        <v>3.0000000000000001E-3</v>
      </c>
    </row>
    <row r="126" spans="1:23" s="5" customFormat="1" ht="17.25" customHeight="1" x14ac:dyDescent="0.4">
      <c r="A126" s="33" t="s">
        <v>208</v>
      </c>
      <c r="B126" s="87">
        <v>81714</v>
      </c>
      <c r="C126" s="34" t="s">
        <v>209</v>
      </c>
      <c r="D126" s="90" t="s">
        <v>66</v>
      </c>
      <c r="E126" s="91">
        <v>4.5600000000000009E-2</v>
      </c>
      <c r="F126" s="92">
        <v>2.3E-2</v>
      </c>
      <c r="G126" s="93">
        <v>46689</v>
      </c>
      <c r="H126" s="93">
        <v>46703</v>
      </c>
      <c r="I126" s="94">
        <v>1.8520547945205479</v>
      </c>
      <c r="J126" s="95">
        <v>100</v>
      </c>
      <c r="K126" s="96">
        <v>30.5</v>
      </c>
      <c r="L126" s="97">
        <v>0.8</v>
      </c>
      <c r="M126" s="98">
        <v>106</v>
      </c>
      <c r="N126" s="99">
        <v>0.32500000000000001</v>
      </c>
      <c r="O126" s="100">
        <v>10560</v>
      </c>
      <c r="P126" s="101">
        <v>1</v>
      </c>
      <c r="Q126" s="102">
        <v>2500</v>
      </c>
      <c r="R126" s="101">
        <v>0.32200000000000001</v>
      </c>
      <c r="S126" s="35" t="s">
        <v>27</v>
      </c>
      <c r="T126" s="36"/>
      <c r="U126" s="40"/>
      <c r="V126" s="38" t="str">
        <f t="shared" si="3"/>
        <v>天宇四</v>
      </c>
      <c r="W126" s="39">
        <v>3.0000000000000001E-3</v>
      </c>
    </row>
    <row r="127" spans="1:23" s="5" customFormat="1" ht="17" x14ac:dyDescent="0.4">
      <c r="A127" s="33" t="s">
        <v>210</v>
      </c>
      <c r="B127" s="87">
        <v>82551</v>
      </c>
      <c r="C127" s="34" t="s">
        <v>62</v>
      </c>
      <c r="D127" s="90" t="s">
        <v>63</v>
      </c>
      <c r="E127" s="91">
        <v>1.9E-2</v>
      </c>
      <c r="F127" s="92">
        <v>2.7E-2</v>
      </c>
      <c r="G127" s="93">
        <v>46230</v>
      </c>
      <c r="H127" s="93">
        <v>46243</v>
      </c>
      <c r="I127" s="94">
        <v>0.59178082191780823</v>
      </c>
      <c r="J127" s="95">
        <v>100</v>
      </c>
      <c r="K127" s="96">
        <v>196.2</v>
      </c>
      <c r="L127" s="97">
        <v>0.59887869520897052</v>
      </c>
      <c r="M127" s="98">
        <v>101.8</v>
      </c>
      <c r="N127" s="99">
        <v>0.69984340425531877</v>
      </c>
      <c r="O127" s="100">
        <v>3699.9999999999968</v>
      </c>
      <c r="P127" s="101">
        <v>0.99987499999999996</v>
      </c>
      <c r="Q127" s="102">
        <v>8000</v>
      </c>
      <c r="R127" s="101">
        <v>0.254</v>
      </c>
      <c r="S127" s="35" t="s">
        <v>28</v>
      </c>
      <c r="T127" s="36"/>
      <c r="U127" s="40"/>
      <c r="V127" s="38" t="str">
        <f t="shared" si="3"/>
        <v>朋程一</v>
      </c>
      <c r="W127" s="39">
        <v>3.0000000000000001E-3</v>
      </c>
    </row>
    <row r="128" spans="1:23" s="5" customFormat="1" ht="17.149999999999999" customHeight="1" x14ac:dyDescent="0.4">
      <c r="A128" s="33" t="s">
        <v>211</v>
      </c>
      <c r="B128" s="87">
        <v>84041</v>
      </c>
      <c r="C128" s="34" t="s">
        <v>212</v>
      </c>
      <c r="D128" s="90" t="s">
        <v>69</v>
      </c>
      <c r="E128" s="91">
        <v>4.1400000000000006E-2</v>
      </c>
      <c r="F128" s="92">
        <v>2.1999999999999999E-2</v>
      </c>
      <c r="G128" s="93">
        <v>46650</v>
      </c>
      <c r="H128" s="93">
        <v>46663</v>
      </c>
      <c r="I128" s="94">
        <v>1.7424657534246575</v>
      </c>
      <c r="J128" s="95">
        <v>100</v>
      </c>
      <c r="K128" s="96">
        <v>26.8</v>
      </c>
      <c r="L128" s="97">
        <v>0.85634328358208966</v>
      </c>
      <c r="M128" s="98">
        <v>114.1</v>
      </c>
      <c r="N128" s="99">
        <v>0.33240958605664472</v>
      </c>
      <c r="O128" s="100">
        <v>18239.999999999996</v>
      </c>
      <c r="P128" s="101">
        <v>1</v>
      </c>
      <c r="Q128" s="102">
        <v>10000</v>
      </c>
      <c r="R128" s="101">
        <v>0.30199999999999999</v>
      </c>
      <c r="S128" s="35" t="s">
        <v>28</v>
      </c>
      <c r="T128" s="36"/>
      <c r="U128" s="37"/>
      <c r="V128" s="38" t="str">
        <f t="shared" si="3"/>
        <v>百和興業一KY</v>
      </c>
      <c r="W128" s="39">
        <v>3.0000000000000001E-3</v>
      </c>
    </row>
    <row r="129" spans="1:23" s="5" customFormat="1" ht="17.25" customHeight="1" x14ac:dyDescent="0.4">
      <c r="A129" s="33" t="s">
        <v>213</v>
      </c>
      <c r="B129" s="87">
        <v>84113</v>
      </c>
      <c r="C129" s="34" t="s">
        <v>214</v>
      </c>
      <c r="D129" s="90" t="s">
        <v>71</v>
      </c>
      <c r="E129" s="91">
        <v>5.2100000000000007E-2</v>
      </c>
      <c r="F129" s="92">
        <v>2.1999999999999999E-2</v>
      </c>
      <c r="G129" s="93">
        <v>46952</v>
      </c>
      <c r="H129" s="93">
        <v>46966</v>
      </c>
      <c r="I129" s="94">
        <v>2.5726027397260274</v>
      </c>
      <c r="J129" s="95">
        <v>100.75190000000001</v>
      </c>
      <c r="K129" s="96">
        <v>13.3</v>
      </c>
      <c r="L129" s="97">
        <v>0.93233082706766912</v>
      </c>
      <c r="M129" s="98">
        <v>100.1</v>
      </c>
      <c r="N129" s="99">
        <v>7.3653225806451658E-2</v>
      </c>
      <c r="O129" s="100">
        <v>5309.9999999999955</v>
      </c>
      <c r="P129" s="101">
        <v>1</v>
      </c>
      <c r="Q129" s="102">
        <v>12000</v>
      </c>
      <c r="R129" s="101">
        <v>0.11600000000000001</v>
      </c>
      <c r="S129" s="35" t="s">
        <v>28</v>
      </c>
      <c r="T129" s="36"/>
      <c r="U129" s="37"/>
      <c r="V129" s="38" t="str">
        <f t="shared" si="3"/>
        <v>福貞三KY</v>
      </c>
      <c r="W129" s="39">
        <v>3.0000000000000001E-3</v>
      </c>
    </row>
    <row r="130" spans="1:23" s="5" customFormat="1" ht="17.25" customHeight="1" x14ac:dyDescent="0.4">
      <c r="A130" s="33" t="s">
        <v>215</v>
      </c>
      <c r="B130" s="87">
        <v>84221</v>
      </c>
      <c r="C130" s="34" t="s">
        <v>62</v>
      </c>
      <c r="D130" s="90" t="s">
        <v>63</v>
      </c>
      <c r="E130" s="91">
        <v>3.04E-2</v>
      </c>
      <c r="F130" s="92">
        <v>2.8000000000000001E-2</v>
      </c>
      <c r="G130" s="93">
        <v>46699</v>
      </c>
      <c r="H130" s="93">
        <v>46713</v>
      </c>
      <c r="I130" s="94">
        <v>1.8794520547945206</v>
      </c>
      <c r="J130" s="95">
        <v>102.52509999999999</v>
      </c>
      <c r="K130" s="96">
        <v>14.6</v>
      </c>
      <c r="L130" s="97">
        <v>2.2260273972602742</v>
      </c>
      <c r="M130" s="98">
        <v>218</v>
      </c>
      <c r="N130" s="99">
        <v>-2.0676923076923127E-2</v>
      </c>
      <c r="O130" s="100">
        <v>121039.99999999999</v>
      </c>
      <c r="P130" s="101">
        <v>0.40135999999999999</v>
      </c>
      <c r="Q130" s="102">
        <v>25000</v>
      </c>
      <c r="R130" s="101">
        <v>0.60299999999999998</v>
      </c>
      <c r="S130" s="35" t="s">
        <v>28</v>
      </c>
      <c r="T130" s="36"/>
      <c r="U130" s="37"/>
      <c r="V130" s="38" t="str">
        <f t="shared" si="3"/>
        <v>可寧衛一</v>
      </c>
      <c r="W130" s="39">
        <v>3.0000000000000001E-3</v>
      </c>
    </row>
    <row r="131" spans="1:23" s="5" customFormat="1" ht="17" x14ac:dyDescent="0.4">
      <c r="A131" s="33" t="s">
        <v>216</v>
      </c>
      <c r="B131" s="87">
        <v>84222</v>
      </c>
      <c r="C131" s="34" t="s">
        <v>62</v>
      </c>
      <c r="D131" s="90" t="s">
        <v>63</v>
      </c>
      <c r="E131" s="91">
        <v>7.0699999999999999E-2</v>
      </c>
      <c r="F131" s="92">
        <v>0.03</v>
      </c>
      <c r="G131" s="93">
        <v>46836</v>
      </c>
      <c r="H131" s="93">
        <v>46850</v>
      </c>
      <c r="I131" s="94">
        <v>2.2547945205479452</v>
      </c>
      <c r="J131" s="95">
        <v>100</v>
      </c>
      <c r="K131" s="96">
        <v>19</v>
      </c>
      <c r="L131" s="97">
        <v>1.7105263157894737</v>
      </c>
      <c r="M131" s="98">
        <v>167</v>
      </c>
      <c r="N131" s="99">
        <v>-2.36923076923077E-2</v>
      </c>
      <c r="O131" s="100">
        <v>74070</v>
      </c>
      <c r="P131" s="101">
        <v>0.98860000000000003</v>
      </c>
      <c r="Q131" s="102">
        <v>20000</v>
      </c>
      <c r="R131" s="101">
        <v>0.60299999999999998</v>
      </c>
      <c r="S131" s="35" t="s">
        <v>28</v>
      </c>
      <c r="T131" s="36"/>
      <c r="U131" s="40"/>
      <c r="V131" s="38" t="str">
        <f t="shared" si="3"/>
        <v>可寧衛二</v>
      </c>
      <c r="W131" s="39">
        <v>3.0000000000000001E-3</v>
      </c>
    </row>
    <row r="132" spans="1:23" s="5" customFormat="1" ht="17" x14ac:dyDescent="0.4">
      <c r="A132" s="33" t="s">
        <v>217</v>
      </c>
      <c r="B132" s="87">
        <v>84422</v>
      </c>
      <c r="C132" s="34" t="s">
        <v>218</v>
      </c>
      <c r="D132" s="90" t="s">
        <v>71</v>
      </c>
      <c r="E132" s="91">
        <v>2.0299999999999999E-2</v>
      </c>
      <c r="F132" s="92">
        <v>2.1999999999999999E-2</v>
      </c>
      <c r="G132" s="93">
        <v>46300</v>
      </c>
      <c r="H132" s="93">
        <v>46314</v>
      </c>
      <c r="I132" s="94">
        <v>0.78630136986301369</v>
      </c>
      <c r="J132" s="95">
        <v>100</v>
      </c>
      <c r="K132" s="96">
        <v>73.900000000000006</v>
      </c>
      <c r="L132" s="97">
        <v>0.95128552097428942</v>
      </c>
      <c r="M132" s="98">
        <v>107</v>
      </c>
      <c r="N132" s="99">
        <v>0.12479374110953083</v>
      </c>
      <c r="O132" s="100">
        <v>9030</v>
      </c>
      <c r="P132" s="101">
        <v>0.90375000000000005</v>
      </c>
      <c r="Q132" s="102">
        <v>4000</v>
      </c>
      <c r="R132" s="101">
        <v>0.33600000000000002</v>
      </c>
      <c r="S132" s="35" t="s">
        <v>27</v>
      </c>
      <c r="T132" s="36"/>
      <c r="U132" s="40"/>
      <c r="V132" s="38" t="str">
        <f t="shared" si="3"/>
        <v>威宏二KY</v>
      </c>
      <c r="W132" s="39">
        <v>3.0000000000000001E-3</v>
      </c>
    </row>
    <row r="133" spans="1:23" s="5" customFormat="1" ht="17.25" customHeight="1" x14ac:dyDescent="0.4">
      <c r="A133" s="33" t="s">
        <v>219</v>
      </c>
      <c r="B133" s="87">
        <v>84672</v>
      </c>
      <c r="C133" s="34" t="s">
        <v>218</v>
      </c>
      <c r="D133" s="90" t="s">
        <v>71</v>
      </c>
      <c r="E133" s="91">
        <v>3.3800000000000004E-2</v>
      </c>
      <c r="F133" s="92">
        <v>2.1999999999999999E-2</v>
      </c>
      <c r="G133" s="93">
        <v>46524</v>
      </c>
      <c r="H133" s="93">
        <v>46537</v>
      </c>
      <c r="I133" s="94">
        <v>1.3972602739726028</v>
      </c>
      <c r="J133" s="95">
        <v>100</v>
      </c>
      <c r="K133" s="96">
        <v>188.9</v>
      </c>
      <c r="L133" s="97">
        <v>0.93965060878771833</v>
      </c>
      <c r="M133" s="98">
        <v>114</v>
      </c>
      <c r="N133" s="99">
        <v>0.2132169014084507</v>
      </c>
      <c r="O133" s="100">
        <v>17380</v>
      </c>
      <c r="P133" s="101">
        <v>0.55238095238095242</v>
      </c>
      <c r="Q133" s="102">
        <v>2100</v>
      </c>
      <c r="R133" s="101">
        <v>0.51600000000000001</v>
      </c>
      <c r="S133" s="35" t="s">
        <v>27</v>
      </c>
      <c r="T133" s="36"/>
      <c r="U133" s="40"/>
      <c r="V133" s="38" t="str">
        <f t="shared" si="3"/>
        <v>波力二KY</v>
      </c>
      <c r="W133" s="39">
        <v>3.0000000000000001E-3</v>
      </c>
    </row>
    <row r="134" spans="1:23" s="5" customFormat="1" ht="17.25" customHeight="1" x14ac:dyDescent="0.4">
      <c r="A134" s="33" t="s">
        <v>220</v>
      </c>
      <c r="B134" s="87">
        <v>84732</v>
      </c>
      <c r="C134" s="34" t="s">
        <v>62</v>
      </c>
      <c r="D134" s="90" t="s">
        <v>71</v>
      </c>
      <c r="E134" s="91">
        <v>1.4099999999999998E-2</v>
      </c>
      <c r="F134" s="92">
        <v>3.2500000000000001E-2</v>
      </c>
      <c r="G134" s="93">
        <v>46279</v>
      </c>
      <c r="H134" s="93">
        <v>46293</v>
      </c>
      <c r="I134" s="94">
        <v>0.72876712328767124</v>
      </c>
      <c r="J134" s="95">
        <v>101.26</v>
      </c>
      <c r="K134" s="96">
        <v>34.1</v>
      </c>
      <c r="L134" s="97">
        <v>1.0835777126099708</v>
      </c>
      <c r="M134" s="98">
        <v>114</v>
      </c>
      <c r="N134" s="99">
        <v>5.2070365358592538E-2</v>
      </c>
      <c r="O134" s="100">
        <v>15410.000000000002</v>
      </c>
      <c r="P134" s="101">
        <v>0.24879999999999999</v>
      </c>
      <c r="Q134" s="102">
        <v>10000</v>
      </c>
      <c r="R134" s="101">
        <v>0.443</v>
      </c>
      <c r="S134" s="35" t="s">
        <v>28</v>
      </c>
      <c r="T134" s="36" t="s">
        <v>3</v>
      </c>
      <c r="U134" s="40"/>
      <c r="V134" s="38" t="str">
        <f t="shared" si="3"/>
        <v>山林水二</v>
      </c>
      <c r="W134" s="39">
        <v>3.0000000000000001E-3</v>
      </c>
    </row>
    <row r="135" spans="1:23" s="5" customFormat="1" ht="17.25" customHeight="1" x14ac:dyDescent="0.4">
      <c r="A135" s="33" t="s">
        <v>221</v>
      </c>
      <c r="B135" s="87">
        <v>84881</v>
      </c>
      <c r="C135" s="34" t="s">
        <v>222</v>
      </c>
      <c r="D135" s="90" t="s">
        <v>69</v>
      </c>
      <c r="E135" s="91">
        <v>2.3999999999999997E-2</v>
      </c>
      <c r="F135" s="92">
        <v>2.1999999999999999E-2</v>
      </c>
      <c r="G135" s="93">
        <v>46363</v>
      </c>
      <c r="H135" s="93">
        <v>46375</v>
      </c>
      <c r="I135" s="94">
        <v>0.95342465753424654</v>
      </c>
      <c r="J135" s="95">
        <v>100</v>
      </c>
      <c r="K135" s="96">
        <v>18.399999999999999</v>
      </c>
      <c r="L135" s="97">
        <v>0.54293478260869565</v>
      </c>
      <c r="M135" s="98">
        <v>98.85</v>
      </c>
      <c r="N135" s="99">
        <v>0.82066066066066068</v>
      </c>
      <c r="O135" s="100">
        <v>1249.9999999999941</v>
      </c>
      <c r="P135" s="101">
        <v>1</v>
      </c>
      <c r="Q135" s="102">
        <v>3000</v>
      </c>
      <c r="R135" s="101">
        <v>0.189</v>
      </c>
      <c r="S135" s="35" t="s">
        <v>27</v>
      </c>
      <c r="T135" s="36"/>
      <c r="U135" s="40"/>
      <c r="V135" s="38" t="str">
        <f t="shared" si="3"/>
        <v>吉源一KY</v>
      </c>
      <c r="W135" s="39">
        <v>3.0000000000000001E-3</v>
      </c>
    </row>
    <row r="136" spans="1:23" s="5" customFormat="1" ht="17.25" customHeight="1" x14ac:dyDescent="0.4">
      <c r="A136" s="33" t="s">
        <v>223</v>
      </c>
      <c r="B136" s="87">
        <v>84891</v>
      </c>
      <c r="C136" s="34" t="s">
        <v>224</v>
      </c>
      <c r="D136" s="90" t="s">
        <v>71</v>
      </c>
      <c r="E136" s="91">
        <v>2.1399999999999999E-2</v>
      </c>
      <c r="F136" s="92">
        <v>2.1999999999999999E-2</v>
      </c>
      <c r="G136" s="93">
        <v>46351</v>
      </c>
      <c r="H136" s="93">
        <v>46365</v>
      </c>
      <c r="I136" s="94">
        <v>0.92602739726027394</v>
      </c>
      <c r="J136" s="95">
        <v>100.20010000000001</v>
      </c>
      <c r="K136" s="96">
        <v>27.9</v>
      </c>
      <c r="L136" s="97">
        <v>1.435483870967742</v>
      </c>
      <c r="M136" s="98">
        <v>141.65</v>
      </c>
      <c r="N136" s="99">
        <v>-1.3224719101123644E-2</v>
      </c>
      <c r="O136" s="100">
        <v>43790</v>
      </c>
      <c r="P136" s="101">
        <v>0.58950347470705766</v>
      </c>
      <c r="Q136" s="102">
        <v>3329.9209999999998</v>
      </c>
      <c r="R136" s="101">
        <v>0.215</v>
      </c>
      <c r="S136" s="35" t="s">
        <v>27</v>
      </c>
      <c r="T136" s="36"/>
      <c r="U136" s="40"/>
      <c r="V136" s="38" t="str">
        <f t="shared" si="3"/>
        <v>三貝德一</v>
      </c>
      <c r="W136" s="39">
        <v>3.0000000000000001E-3</v>
      </c>
    </row>
    <row r="137" spans="1:23" s="5" customFormat="1" ht="17.25" customHeight="1" x14ac:dyDescent="0.4">
      <c r="A137" s="33" t="s">
        <v>225</v>
      </c>
      <c r="B137" s="87">
        <v>98026</v>
      </c>
      <c r="C137" s="34" t="s">
        <v>62</v>
      </c>
      <c r="D137" s="90" t="s">
        <v>63</v>
      </c>
      <c r="E137" s="91">
        <v>2.3099999999999999E-2</v>
      </c>
      <c r="F137" s="92">
        <v>3.5000000000000003E-2</v>
      </c>
      <c r="G137" s="93">
        <v>46328</v>
      </c>
      <c r="H137" s="93">
        <v>46341</v>
      </c>
      <c r="I137" s="94">
        <v>0.86027397260273974</v>
      </c>
      <c r="J137" s="95">
        <v>101.0025</v>
      </c>
      <c r="K137" s="96">
        <v>106.4</v>
      </c>
      <c r="L137" s="97">
        <v>0.9586466165413533</v>
      </c>
      <c r="M137" s="98">
        <v>121</v>
      </c>
      <c r="N137" s="99">
        <v>0.2621960784313726</v>
      </c>
      <c r="O137" s="100">
        <v>23310</v>
      </c>
      <c r="P137" s="101">
        <v>0.99980000000000002</v>
      </c>
      <c r="Q137" s="102">
        <v>10000</v>
      </c>
      <c r="R137" s="101">
        <v>0.53800000000000003</v>
      </c>
      <c r="S137" s="35" t="s">
        <v>28</v>
      </c>
      <c r="T137" s="36"/>
      <c r="U137" s="40"/>
      <c r="V137" s="38" t="str">
        <f t="shared" si="3"/>
        <v>鈺齊六KY</v>
      </c>
      <c r="W137" s="39">
        <v>3.0000000000000001E-3</v>
      </c>
    </row>
    <row r="138" spans="1:23" s="5" customFormat="1" ht="17.25" customHeight="1" x14ac:dyDescent="0.4">
      <c r="A138" s="46"/>
      <c r="B138" s="31"/>
      <c r="C138" s="47"/>
      <c r="D138" s="46"/>
      <c r="E138" s="46"/>
      <c r="F138" s="48"/>
      <c r="G138" s="46" t="s">
        <v>3</v>
      </c>
      <c r="H138" s="46"/>
      <c r="I138" s="18"/>
      <c r="J138" s="19"/>
      <c r="K138" s="19"/>
      <c r="L138" s="48"/>
      <c r="M138" s="48"/>
      <c r="N138" s="48"/>
      <c r="O138" s="48"/>
      <c r="P138" s="48"/>
      <c r="Q138" s="49"/>
      <c r="R138" s="48"/>
      <c r="S138" s="50"/>
      <c r="T138" s="51"/>
      <c r="U138" s="40"/>
      <c r="W138" s="4"/>
    </row>
    <row r="139" spans="1:23" s="5" customFormat="1" ht="17.25" customHeight="1" x14ac:dyDescent="0.4">
      <c r="A139" s="46" t="s">
        <v>38</v>
      </c>
      <c r="B139" s="31"/>
      <c r="C139" s="47"/>
      <c r="D139" s="46"/>
      <c r="E139" s="46"/>
      <c r="F139" s="48"/>
      <c r="G139" s="46" t="s">
        <v>3</v>
      </c>
      <c r="H139" s="46"/>
      <c r="I139" s="18"/>
      <c r="J139" s="19"/>
      <c r="K139" s="19"/>
      <c r="L139" s="48"/>
      <c r="M139" s="48"/>
      <c r="N139" s="48"/>
      <c r="O139" s="48"/>
      <c r="P139" s="48"/>
      <c r="Q139" s="49"/>
      <c r="R139" s="48"/>
      <c r="S139" s="50"/>
      <c r="T139" s="51"/>
      <c r="U139" s="14"/>
      <c r="W139" s="4"/>
    </row>
    <row r="140" spans="1:23" s="5" customFormat="1" ht="8.15" customHeight="1" x14ac:dyDescent="0.4">
      <c r="A140" s="46"/>
      <c r="B140" s="31"/>
      <c r="C140" s="47"/>
      <c r="D140" s="46"/>
      <c r="E140" s="46"/>
      <c r="F140" s="48" t="s">
        <v>3</v>
      </c>
      <c r="G140" s="46"/>
      <c r="H140" s="46"/>
      <c r="I140" s="18"/>
      <c r="J140" s="19"/>
      <c r="K140" s="19"/>
      <c r="L140" s="48"/>
      <c r="M140" s="48"/>
      <c r="N140" s="48"/>
      <c r="O140" s="48"/>
      <c r="P140" s="48"/>
      <c r="Q140" s="49"/>
      <c r="R140" s="48"/>
      <c r="S140" s="50"/>
      <c r="T140" s="51"/>
      <c r="U140" s="14"/>
      <c r="W140" s="4"/>
    </row>
    <row r="141" spans="1:23" s="5" customFormat="1" ht="17.25" customHeight="1" x14ac:dyDescent="0.4">
      <c r="A141" s="53"/>
      <c r="B141" s="54" t="s">
        <v>39</v>
      </c>
      <c r="C141" s="54" t="s">
        <v>40</v>
      </c>
      <c r="D141" s="122" t="s">
        <v>41</v>
      </c>
      <c r="E141" s="122"/>
      <c r="F141" s="55" t="s">
        <v>42</v>
      </c>
      <c r="G141" s="122" t="s">
        <v>43</v>
      </c>
      <c r="H141" s="122"/>
      <c r="I141" s="122" t="s">
        <v>44</v>
      </c>
      <c r="J141" s="122"/>
      <c r="K141" s="48"/>
      <c r="L141" s="48"/>
      <c r="M141" s="48"/>
      <c r="N141" s="48"/>
      <c r="O141" s="48"/>
      <c r="P141" s="50"/>
      <c r="Q141" s="56"/>
      <c r="R141" s="51"/>
      <c r="S141" s="51"/>
      <c r="T141" s="57"/>
      <c r="U141" s="4"/>
      <c r="V141" s="4"/>
      <c r="W141" s="3"/>
    </row>
    <row r="142" spans="1:23" s="5" customFormat="1" ht="17.25" customHeight="1" x14ac:dyDescent="0.4">
      <c r="A142" s="58" t="s">
        <v>45</v>
      </c>
      <c r="B142" s="59">
        <v>66702</v>
      </c>
      <c r="C142" s="60" t="str">
        <f>VLOOKUP(B142,B1:W138,21,FALSE)</f>
        <v>復盛應用二</v>
      </c>
      <c r="D142" s="118">
        <f>VLOOKUP(B142,B1:W138,5,FALSE)</f>
        <v>2.4E-2</v>
      </c>
      <c r="E142" s="118"/>
      <c r="F142" s="61">
        <f>ROUND(VLOOKUP(B142,B1:W138,4,FALSE),4)</f>
        <v>7.4499999999999997E-2</v>
      </c>
      <c r="G142" s="119">
        <f>VLOOKUP(B142,B:S,12,FALSE)</f>
        <v>110.8</v>
      </c>
      <c r="H142" s="119"/>
      <c r="I142" s="120">
        <f>(F142+(G142/100-1))*100000</f>
        <v>18249.999999999989</v>
      </c>
      <c r="J142" s="120"/>
      <c r="K142" s="62" t="s">
        <v>46</v>
      </c>
      <c r="L142" s="48"/>
      <c r="M142" s="48"/>
      <c r="N142" s="48"/>
      <c r="O142" s="48"/>
      <c r="P142" s="50"/>
      <c r="Q142" s="56"/>
      <c r="R142" s="51"/>
      <c r="S142" s="51"/>
      <c r="T142" s="57"/>
      <c r="U142" s="4"/>
      <c r="V142" s="4"/>
      <c r="W142" s="3"/>
    </row>
    <row r="143" spans="1:23" s="5" customFormat="1" ht="17.25" customHeight="1" x14ac:dyDescent="0.4">
      <c r="A143" s="46"/>
      <c r="B143" s="31"/>
      <c r="C143" s="47"/>
      <c r="D143" s="46"/>
      <c r="E143" s="46"/>
      <c r="F143" s="48"/>
      <c r="G143" s="46"/>
      <c r="H143" s="46"/>
      <c r="I143" s="18"/>
      <c r="J143" s="19"/>
      <c r="K143" s="19"/>
      <c r="L143" s="48"/>
      <c r="M143" s="48"/>
      <c r="N143" s="48"/>
      <c r="O143" s="48"/>
      <c r="P143" s="48"/>
      <c r="Q143" s="49"/>
      <c r="R143" s="48"/>
      <c r="S143" s="50"/>
      <c r="T143" s="51"/>
      <c r="U143" s="14"/>
      <c r="W143" s="4"/>
    </row>
    <row r="144" spans="1:23" s="5" customFormat="1" ht="17.25" customHeight="1" x14ac:dyDescent="0.4">
      <c r="A144" s="46" t="s">
        <v>47</v>
      </c>
      <c r="B144" s="31"/>
      <c r="C144" s="47"/>
      <c r="D144" s="46"/>
      <c r="E144" s="46"/>
      <c r="F144" s="48"/>
      <c r="G144" s="46"/>
      <c r="H144" s="46"/>
      <c r="I144" s="18"/>
      <c r="J144" s="19"/>
      <c r="L144" s="48"/>
      <c r="M144" s="48"/>
      <c r="N144" s="48"/>
      <c r="O144" s="48"/>
      <c r="P144" s="48"/>
      <c r="Q144" s="49"/>
      <c r="R144" s="48"/>
      <c r="S144" s="50"/>
      <c r="T144" s="51"/>
      <c r="U144" s="14"/>
      <c r="W144" s="4"/>
    </row>
    <row r="145" spans="1:23" ht="17.25" customHeight="1" x14ac:dyDescent="0.4">
      <c r="A145" s="46" t="s">
        <v>48</v>
      </c>
      <c r="C145" s="47"/>
      <c r="D145" s="46"/>
      <c r="E145" s="46"/>
      <c r="F145" s="63"/>
      <c r="G145" s="46"/>
      <c r="H145" s="46"/>
      <c r="I145" s="18"/>
      <c r="J145" s="19"/>
      <c r="K145" s="19"/>
      <c r="L145" s="63"/>
      <c r="M145" s="63"/>
      <c r="N145" s="63"/>
      <c r="O145" s="63"/>
      <c r="P145" s="63"/>
      <c r="Q145" s="64"/>
      <c r="R145" s="63"/>
      <c r="S145" s="50"/>
      <c r="T145" s="51"/>
      <c r="U145" s="14"/>
    </row>
    <row r="146" spans="1:23" ht="17.25" customHeight="1" x14ac:dyDescent="0.4">
      <c r="A146" s="46" t="s">
        <v>49</v>
      </c>
      <c r="C146" s="47"/>
      <c r="D146" s="46"/>
      <c r="E146" s="46"/>
      <c r="F146" s="63"/>
      <c r="G146" s="46"/>
      <c r="H146" s="46"/>
      <c r="I146" s="18"/>
      <c r="J146" s="19"/>
      <c r="K146" s="19"/>
      <c r="L146" s="63"/>
      <c r="M146" s="63"/>
      <c r="N146" s="63"/>
      <c r="O146" s="63"/>
      <c r="P146" s="63"/>
      <c r="Q146" s="64"/>
      <c r="R146" s="63"/>
      <c r="S146" s="50"/>
      <c r="T146" s="51"/>
      <c r="U146" s="14"/>
    </row>
    <row r="147" spans="1:23" ht="17.25" customHeight="1" x14ac:dyDescent="0.4">
      <c r="A147" s="65" t="s">
        <v>50</v>
      </c>
      <c r="C147" s="47"/>
      <c r="D147" s="46"/>
      <c r="E147" s="46"/>
      <c r="F147" s="63"/>
      <c r="G147" s="46"/>
      <c r="H147" s="46"/>
      <c r="I147" s="18"/>
      <c r="J147" s="19"/>
      <c r="K147" s="19"/>
      <c r="L147" s="63"/>
      <c r="M147" s="63"/>
      <c r="N147" s="63"/>
      <c r="O147" s="63"/>
      <c r="P147" s="63"/>
      <c r="Q147" s="64"/>
      <c r="R147" s="63"/>
      <c r="S147" s="50"/>
      <c r="T147" s="51"/>
      <c r="U147" s="14"/>
      <c r="W147" s="4"/>
    </row>
    <row r="148" spans="1:23" ht="17.25" customHeight="1" x14ac:dyDescent="0.4">
      <c r="A148" s="46" t="s">
        <v>51</v>
      </c>
      <c r="C148" s="47"/>
      <c r="D148" s="46"/>
      <c r="E148" s="46"/>
      <c r="F148" s="46"/>
      <c r="G148" s="46"/>
      <c r="H148" s="46"/>
      <c r="I148" s="18"/>
      <c r="J148" s="47"/>
      <c r="K148" s="47"/>
      <c r="L148" s="46"/>
      <c r="M148" s="46"/>
      <c r="N148" s="46"/>
      <c r="O148" s="46"/>
      <c r="P148" s="46"/>
      <c r="Q148" s="66"/>
      <c r="R148" s="46"/>
      <c r="S148" s="47"/>
      <c r="T148" s="10"/>
      <c r="U148" s="67"/>
      <c r="W148" s="4"/>
    </row>
    <row r="149" spans="1:23" ht="17.25" customHeight="1" x14ac:dyDescent="0.4">
      <c r="A149" s="46" t="s">
        <v>52</v>
      </c>
      <c r="B149" s="68"/>
      <c r="C149" s="68"/>
      <c r="D149" s="68"/>
      <c r="E149" s="68"/>
      <c r="F149" s="68"/>
      <c r="G149" s="68"/>
      <c r="H149" s="68"/>
      <c r="I149" s="69"/>
      <c r="J149" s="68"/>
      <c r="K149" s="68"/>
      <c r="L149" s="68"/>
      <c r="M149" s="68"/>
      <c r="N149" s="68"/>
      <c r="O149" s="68"/>
      <c r="P149" s="68"/>
      <c r="Q149" s="70"/>
      <c r="R149" s="68"/>
      <c r="S149" s="68"/>
      <c r="T149" s="71"/>
      <c r="U149" s="72"/>
      <c r="W149" s="4"/>
    </row>
    <row r="150" spans="1:23" ht="17.25" customHeight="1" x14ac:dyDescent="0.4">
      <c r="A150" s="68" t="s">
        <v>3</v>
      </c>
      <c r="B150" s="68"/>
      <c r="C150" s="68"/>
      <c r="D150" s="68"/>
      <c r="E150" s="68"/>
      <c r="F150" s="68"/>
      <c r="G150" s="68"/>
      <c r="H150" s="68"/>
      <c r="I150" s="69"/>
      <c r="J150" s="68"/>
      <c r="K150" s="68"/>
      <c r="L150" s="68"/>
      <c r="M150" s="68"/>
      <c r="N150" s="68"/>
      <c r="O150" s="68"/>
      <c r="P150" s="68"/>
      <c r="Q150" s="70"/>
      <c r="R150" s="68"/>
      <c r="S150" s="68"/>
      <c r="T150" s="71"/>
      <c r="U150" s="72"/>
      <c r="W150" s="4"/>
    </row>
    <row r="151" spans="1:23" ht="17.25" customHeight="1" x14ac:dyDescent="0.4">
      <c r="A151" s="46" t="s">
        <v>53</v>
      </c>
      <c r="C151" s="47"/>
      <c r="D151" s="46"/>
      <c r="E151" s="46"/>
      <c r="F151" s="63"/>
      <c r="G151" s="46"/>
      <c r="H151" s="46"/>
      <c r="I151" s="18"/>
      <c r="J151" s="19"/>
      <c r="K151" s="19"/>
      <c r="L151" s="63"/>
      <c r="M151" s="63"/>
      <c r="N151" s="63"/>
      <c r="O151" s="63"/>
      <c r="P151" s="63"/>
      <c r="Q151" s="64"/>
      <c r="R151" s="63"/>
      <c r="S151" s="50"/>
      <c r="T151" s="51"/>
      <c r="U151" s="14"/>
      <c r="W151" s="4"/>
    </row>
    <row r="152" spans="1:23" ht="17.25" customHeight="1" x14ac:dyDescent="0.4">
      <c r="A152" s="6" t="s">
        <v>54</v>
      </c>
      <c r="C152" s="47"/>
      <c r="D152" s="46"/>
      <c r="E152" s="46"/>
      <c r="F152" s="63"/>
      <c r="G152" s="46"/>
      <c r="H152" s="46"/>
      <c r="I152" s="18"/>
      <c r="J152" s="19"/>
      <c r="K152" s="19"/>
      <c r="L152" s="63"/>
      <c r="M152" s="63"/>
      <c r="N152" s="63"/>
      <c r="O152" s="63"/>
      <c r="P152" s="63"/>
      <c r="Q152" s="64"/>
      <c r="R152" s="63"/>
      <c r="S152" s="50"/>
      <c r="T152" s="51"/>
      <c r="U152" s="14"/>
      <c r="W152" s="4"/>
    </row>
    <row r="153" spans="1:23" s="79" customFormat="1" ht="17.25" customHeight="1" x14ac:dyDescent="0.4">
      <c r="A153" s="73" t="s">
        <v>55</v>
      </c>
      <c r="B153" s="74"/>
      <c r="C153" s="74"/>
      <c r="D153" s="74"/>
      <c r="E153" s="74"/>
      <c r="F153" s="74"/>
      <c r="G153" s="74"/>
      <c r="H153" s="74"/>
      <c r="I153" s="75"/>
      <c r="J153" s="74"/>
      <c r="K153" s="74"/>
      <c r="L153" s="74"/>
      <c r="M153" s="74"/>
      <c r="N153" s="74"/>
      <c r="O153" s="74"/>
      <c r="P153" s="74"/>
      <c r="Q153" s="76"/>
      <c r="R153" s="74"/>
      <c r="S153" s="74"/>
      <c r="T153" s="77"/>
      <c r="U153" s="78"/>
      <c r="W153" s="80"/>
    </row>
    <row r="154" spans="1:23" ht="17.25" customHeight="1" x14ac:dyDescent="0.4">
      <c r="A154" s="6" t="s">
        <v>56</v>
      </c>
      <c r="C154" s="47"/>
      <c r="D154" s="46"/>
      <c r="E154" s="46"/>
      <c r="F154" s="63"/>
      <c r="G154" s="46"/>
      <c r="H154" s="46"/>
      <c r="I154" s="18"/>
      <c r="J154" s="19"/>
      <c r="K154" s="19"/>
      <c r="L154" s="63"/>
      <c r="M154" s="63"/>
      <c r="N154" s="63"/>
      <c r="O154" s="63"/>
      <c r="P154" s="63"/>
      <c r="Q154" s="64"/>
      <c r="R154" s="63"/>
      <c r="S154" s="50"/>
      <c r="T154" s="51"/>
      <c r="U154" s="14"/>
      <c r="W154" s="4"/>
    </row>
    <row r="155" spans="1:23" ht="17.25" customHeight="1" x14ac:dyDescent="0.4">
      <c r="A155" s="6" t="s">
        <v>57</v>
      </c>
      <c r="C155" s="47"/>
      <c r="D155" s="46"/>
      <c r="E155" s="46"/>
      <c r="F155" s="63"/>
      <c r="G155" s="46"/>
      <c r="H155" s="46"/>
      <c r="I155" s="18"/>
      <c r="J155" s="19"/>
      <c r="K155" s="19"/>
      <c r="L155" s="63"/>
      <c r="M155" s="63"/>
      <c r="N155" s="63"/>
      <c r="O155" s="63"/>
      <c r="P155" s="63"/>
      <c r="Q155" s="64"/>
      <c r="R155" s="63"/>
      <c r="S155" s="50"/>
      <c r="T155" s="51"/>
      <c r="U155" s="14"/>
      <c r="W155" s="4"/>
    </row>
    <row r="156" spans="1:23" ht="17.25" customHeight="1" x14ac:dyDescent="0.4">
      <c r="A156" s="6" t="s">
        <v>58</v>
      </c>
      <c r="C156" s="47"/>
      <c r="D156" s="46"/>
      <c r="E156" s="46"/>
      <c r="F156" s="63"/>
      <c r="G156" s="46"/>
      <c r="H156" s="46"/>
      <c r="I156" s="18"/>
      <c r="J156" s="19"/>
      <c r="K156" s="19"/>
      <c r="L156" s="63"/>
      <c r="M156" s="63"/>
      <c r="N156" s="63"/>
      <c r="O156" s="63"/>
      <c r="P156" s="63"/>
      <c r="Q156" s="64"/>
      <c r="R156" s="63"/>
      <c r="S156" s="50"/>
      <c r="T156" s="51"/>
      <c r="U156" s="14"/>
      <c r="W156" s="4"/>
    </row>
    <row r="157" spans="1:23" s="79" customFormat="1" ht="17.25" customHeight="1" x14ac:dyDescent="0.4">
      <c r="A157" s="65" t="s">
        <v>59</v>
      </c>
      <c r="I157" s="81"/>
      <c r="Q157" s="82"/>
      <c r="T157" s="77"/>
      <c r="U157" s="78"/>
      <c r="W157" s="80"/>
    </row>
    <row r="158" spans="1:23" s="79" customFormat="1" ht="17.25" customHeight="1" x14ac:dyDescent="0.4">
      <c r="A158" s="65" t="s">
        <v>60</v>
      </c>
      <c r="I158" s="81"/>
      <c r="Q158" s="82"/>
      <c r="T158" s="77"/>
      <c r="U158" s="78"/>
      <c r="W158" s="80"/>
    </row>
    <row r="159" spans="1:23" ht="17.25" customHeight="1" x14ac:dyDescent="0.4">
      <c r="B159" s="6"/>
      <c r="C159" s="6"/>
      <c r="F159" s="6"/>
      <c r="J159" s="6"/>
      <c r="K159" s="6"/>
      <c r="L159" s="6"/>
      <c r="M159" s="6"/>
      <c r="N159" s="6"/>
      <c r="O159" s="6"/>
      <c r="P159" s="6"/>
      <c r="Q159" s="52"/>
      <c r="R159" s="6"/>
      <c r="S159" s="6"/>
      <c r="T159" s="11"/>
      <c r="U159" s="84"/>
      <c r="W159" s="6"/>
    </row>
  </sheetData>
  <autoFilter ref="A7:W139"/>
  <mergeCells count="9">
    <mergeCell ref="D142:E142"/>
    <mergeCell ref="G142:H142"/>
    <mergeCell ref="I142:J142"/>
    <mergeCell ref="A2:S2"/>
    <mergeCell ref="A3:S3"/>
    <mergeCell ref="A4:S4"/>
    <mergeCell ref="D141:E141"/>
    <mergeCell ref="G141:H141"/>
    <mergeCell ref="I141:J141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2026-01-02T06:29:26Z</dcterms:created>
  <dcterms:modified xsi:type="dcterms:W3CDTF">2026-01-02T09:07:42Z</dcterms:modified>
</cp:coreProperties>
</file>